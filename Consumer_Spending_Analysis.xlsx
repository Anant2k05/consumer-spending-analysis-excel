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8_{5545F11B-7CEE-4B73-BF05-BF0EF96BD5DE}" xr6:coauthVersionLast="47" xr6:coauthVersionMax="47" xr10:uidLastSave="{00000000-0000-0000-0000-000000000000}"/>
  <bookViews>
    <workbookView xWindow="-108" yWindow="-108" windowWidth="23256" windowHeight="12456" tabRatio="642" xr2:uid="{00000000-000D-0000-FFFF-FFFF00000000}"/>
  </bookViews>
  <sheets>
    <sheet name="Dataset" sheetId="1" r:id="rId1"/>
    <sheet name="Analysis" sheetId="2" r:id="rId2"/>
    <sheet name="Dashboard" sheetId="3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03" i="1" l="1"/>
  <c r="Q8" i="3"/>
  <c r="L8" i="3"/>
  <c r="B8" i="3"/>
  <c r="H504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G8" i="3" l="1"/>
</calcChain>
</file>

<file path=xl/sharedStrings.xml><?xml version="1.0" encoding="utf-8"?>
<sst xmlns="http://schemas.openxmlformats.org/spreadsheetml/2006/main" count="2139" uniqueCount="67">
  <si>
    <t>Person_ID</t>
  </si>
  <si>
    <t>Age</t>
  </si>
  <si>
    <t>Gender</t>
  </si>
  <si>
    <t>Occupation</t>
  </si>
  <si>
    <t>Area</t>
  </si>
  <si>
    <t>Category</t>
  </si>
  <si>
    <t>Amount</t>
  </si>
  <si>
    <t>Female</t>
  </si>
  <si>
    <t>Student</t>
  </si>
  <si>
    <t>Area C</t>
  </si>
  <si>
    <t>Food</t>
  </si>
  <si>
    <t>Homemaker</t>
  </si>
  <si>
    <t>Utilities</t>
  </si>
  <si>
    <t>Male</t>
  </si>
  <si>
    <t>Area B</t>
  </si>
  <si>
    <t>Business Owner</t>
  </si>
  <si>
    <t>Area A</t>
  </si>
  <si>
    <t>Travel</t>
  </si>
  <si>
    <t>Entertainment</t>
  </si>
  <si>
    <t>Education</t>
  </si>
  <si>
    <t>Employee</t>
  </si>
  <si>
    <t>Area D</t>
  </si>
  <si>
    <t>Freelancer</t>
  </si>
  <si>
    <t>Healthcare</t>
  </si>
  <si>
    <t>Shopping</t>
  </si>
  <si>
    <t>pivot 1</t>
  </si>
  <si>
    <t>which category has highest spending</t>
  </si>
  <si>
    <t>Row Labels</t>
  </si>
  <si>
    <t>Grand Total</t>
  </si>
  <si>
    <t>Sum of Amount</t>
  </si>
  <si>
    <t>p2 : Which occupation spends the most?</t>
  </si>
  <si>
    <t>p3:Which area spends the most?</t>
  </si>
  <si>
    <t>p4:Which age group spends the most??</t>
  </si>
  <si>
    <t>age group</t>
  </si>
  <si>
    <t>18-25</t>
  </si>
  <si>
    <t>26-35</t>
  </si>
  <si>
    <t>36-45</t>
  </si>
  <si>
    <t>46-60</t>
  </si>
  <si>
    <t>Consumer Spending Analysis</t>
  </si>
  <si>
    <t>TOTAL SPENDING</t>
  </si>
  <si>
    <t xml:space="preserve">AVG SPENDING </t>
  </si>
  <si>
    <t>HIGHEST SPENDING CAT.</t>
  </si>
  <si>
    <t>HIGHEST SPENDING AREA</t>
  </si>
  <si>
    <t>Category Spending</t>
  </si>
  <si>
    <t>CAT.</t>
  </si>
  <si>
    <t>AMT.</t>
  </si>
  <si>
    <t>Occupation Spending</t>
  </si>
  <si>
    <t>Area Spending</t>
  </si>
  <si>
    <t>AREA</t>
  </si>
  <si>
    <t xml:space="preserve"> Age Group Spending</t>
  </si>
  <si>
    <t>AGE</t>
  </si>
  <si>
    <t>AMT</t>
  </si>
  <si>
    <t>INSIGHTS</t>
  </si>
  <si>
    <t>&gt; Education contributes the highest share of spending.
&gt; Employees account for the largest expenditure group.
&gt; Area A residents spend significantly more than other areas.
&gt; Spending peaks in the 18–25 age bracket.
&gt; Healthcare spending rises with age.</t>
  </si>
  <si>
    <t xml:space="preserve"> Category usage by age groups</t>
  </si>
  <si>
    <t>p5 : which age uses which category most</t>
  </si>
  <si>
    <t>Column Labels</t>
  </si>
  <si>
    <t xml:space="preserve">what each age group spends most on </t>
  </si>
  <si>
    <t>AGE GORUP</t>
  </si>
  <si>
    <t>MOST SPENT ON</t>
  </si>
  <si>
    <t>18 - 25</t>
  </si>
  <si>
    <t>26 - 35</t>
  </si>
  <si>
    <t>36 - 45</t>
  </si>
  <si>
    <t>46 - 60</t>
  </si>
  <si>
    <t>shopping</t>
  </si>
  <si>
    <t>food</t>
  </si>
  <si>
    <t>SPENDING ANALYSIS OF 500 PEOPLE ACROSS FOUR DIFFERENT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</si>
</sst>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2"/>
      <name val="Calibri"/>
      <family val="2"/>
      <scheme val="minor"/>
    </font>
    <font>
      <b/>
      <sz val="24"/>
      <color theme="2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49998474074526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3" borderId="0" xfId="0" applyFill="1"/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3" fillId="3" borderId="0" xfId="0" applyFont="1" applyFill="1"/>
    <xf numFmtId="0" fontId="4" fillId="2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0" fillId="6" borderId="0" xfId="0" applyFill="1"/>
    <xf numFmtId="0" fontId="11" fillId="3" borderId="0" xfId="0" applyFont="1" applyFill="1"/>
    <xf numFmtId="0" fontId="2" fillId="4" borderId="0" xfId="0" applyFont="1" applyFill="1" applyAlignment="1">
      <alignment horizont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</cellXfs>
  <cellStyles count="1">
    <cellStyle name="Normal" xfId="0" builtinId="0"/>
  </cellStyles>
  <dxfs count="14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  <fill>
        <patternFill>
          <fgColor indexed="64"/>
          <bgColor theme="9"/>
        </patternFill>
      </fill>
      <alignment horizontal="center" vertical="center" textRotation="0" indent="0" justifyLastLine="0" shrinkToFit="0" readingOrder="0"/>
    </dxf>
    <dxf>
      <fill>
        <patternFill patternType="solid">
          <fgColor indexed="64"/>
          <bgColor theme="5" tint="-0.499984740745262"/>
        </patternFill>
      </fill>
      <alignment horizontal="center" vertical="center" textRotation="0" indent="0" justifyLastLine="0" shrinkToFit="0" readingOrder="0"/>
    </dxf>
    <dxf>
      <font>
        <b/>
      </font>
      <numFmt numFmtId="0" formatCode="General"/>
      <fill>
        <patternFill>
          <fgColor indexed="64"/>
          <bgColor theme="9"/>
        </patternFill>
      </fill>
      <alignment horizontal="center" vertical="center" textRotation="0" indent="0" justifyLastLine="0" shrinkToFit="0" readingOrder="0"/>
    </dxf>
    <dxf>
      <font>
        <b/>
      </font>
      <fill>
        <patternFill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5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alignment wrapText="1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5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ont>
        <color theme="1"/>
      </font>
    </dxf>
    <dxf>
      <font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07195254346533"/>
          <c:y val="8.3280026465998969E-2"/>
          <c:w val="0.45258552963305171"/>
          <c:h val="0.81313994880573492"/>
        </c:manualLayout>
      </c:layout>
      <c:doughnutChart>
        <c:varyColors val="1"/>
        <c:ser>
          <c:idx val="0"/>
          <c:order val="0"/>
          <c:tx>
            <c:strRef>
              <c:f>Analysis!$V$5</c:f>
              <c:strCache>
                <c:ptCount val="1"/>
                <c:pt idx="0">
                  <c:v>AMT.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68-4F44-B841-DEE3B78807DC}"/>
              </c:ext>
            </c:extLst>
          </c:dPt>
          <c:dPt>
            <c:idx val="1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68-4F44-B841-DEE3B78807DC}"/>
              </c:ext>
            </c:extLst>
          </c:dPt>
          <c:dPt>
            <c:idx val="2"/>
            <c:bubble3D val="0"/>
            <c:spPr>
              <a:solidFill>
                <a:schemeClr val="accent6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68-4F44-B841-DEE3B78807DC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68-4F44-B841-DEE3B78807DC}"/>
              </c:ext>
            </c:extLst>
          </c:dPt>
          <c:dPt>
            <c:idx val="4"/>
            <c:bubble3D val="0"/>
            <c:spPr>
              <a:solidFill>
                <a:schemeClr val="accent6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52-44C2-9502-747F5900A28B}"/>
              </c:ext>
            </c:extLst>
          </c:dPt>
          <c:dPt>
            <c:idx val="5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868-4F44-B841-DEE3B78807DC}"/>
              </c:ext>
            </c:extLst>
          </c:dPt>
          <c:dPt>
            <c:idx val="6"/>
            <c:bubble3D val="0"/>
            <c:spPr>
              <a:solidFill>
                <a:schemeClr val="accent6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68-4F44-B841-DEE3B78807DC}"/>
              </c:ext>
            </c:extLst>
          </c:dPt>
          <c:cat>
            <c:strRef>
              <c:f>Analysis!$U$6:$U$12</c:f>
              <c:strCache>
                <c:ptCount val="7"/>
                <c:pt idx="0">
                  <c:v>Education</c:v>
                </c:pt>
                <c:pt idx="1">
                  <c:v>Entertainment</c:v>
                </c:pt>
                <c:pt idx="2">
                  <c:v>Food</c:v>
                </c:pt>
                <c:pt idx="3">
                  <c:v>Healthcare</c:v>
                </c:pt>
                <c:pt idx="4">
                  <c:v>Shopping</c:v>
                </c:pt>
                <c:pt idx="5">
                  <c:v>Travel</c:v>
                </c:pt>
                <c:pt idx="6">
                  <c:v>Utilities</c:v>
                </c:pt>
              </c:strCache>
            </c:strRef>
          </c:cat>
          <c:val>
            <c:numRef>
              <c:f>Analysis!$V$6:$V$12</c:f>
              <c:numCache>
                <c:formatCode>General</c:formatCode>
                <c:ptCount val="7"/>
                <c:pt idx="0">
                  <c:v>916580</c:v>
                </c:pt>
                <c:pt idx="1">
                  <c:v>234444</c:v>
                </c:pt>
                <c:pt idx="2">
                  <c:v>678410</c:v>
                </c:pt>
                <c:pt idx="3">
                  <c:v>252189</c:v>
                </c:pt>
                <c:pt idx="4">
                  <c:v>660403</c:v>
                </c:pt>
                <c:pt idx="5">
                  <c:v>542092</c:v>
                </c:pt>
                <c:pt idx="6">
                  <c:v>295558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2-44C2-9502-747F5900A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Analysis!$O$18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Analysis!$N$19:$N$22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Analysis!$O$19:$O$22</c:f>
              <c:numCache>
                <c:formatCode>General</c:formatCode>
                <c:ptCount val="4"/>
                <c:pt idx="0">
                  <c:v>931843</c:v>
                </c:pt>
                <c:pt idx="1">
                  <c:v>868561</c:v>
                </c:pt>
                <c:pt idx="2">
                  <c:v>896640</c:v>
                </c:pt>
                <c:pt idx="3">
                  <c:v>882632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4-4A92-BF60-0C69CBD98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730896"/>
        <c:axId val="878731376"/>
      </c:barChart>
      <c:catAx>
        <c:axId val="87873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31376"/>
        <c:crosses val="autoZero"/>
        <c:auto val="1"/>
        <c:lblAlgn val="ctr"/>
        <c:lblOffset val="100"/>
        <c:noMultiLvlLbl val="0"/>
      </c:catAx>
      <c:valAx>
        <c:axId val="87873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3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Analysis!$W$16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Analysis!$V$17:$V$21</c:f>
              <c:numCache>
                <c:formatCode>General</c:formatCode>
                <c:ptCount val="5"/>
              </c:numCache>
            </c:numRef>
          </c:cat>
          <c:val>
            <c:numRef>
              <c:f>Analysis!$W$17:$W$21</c:f>
              <c:numCache>
                <c:formatCode>General</c:formatCode>
                <c:ptCount val="5"/>
                <c:pt idx="0">
                  <c:v>389189</c:v>
                </c:pt>
                <c:pt idx="1">
                  <c:v>1176643</c:v>
                </c:pt>
                <c:pt idx="2">
                  <c:v>504545</c:v>
                </c:pt>
                <c:pt idx="3">
                  <c:v>347155</c:v>
                </c:pt>
                <c:pt idx="4">
                  <c:v>1162144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1-45E6-89B6-950A9AB25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8715056"/>
        <c:axId val="878720336"/>
      </c:barChart>
      <c:catAx>
        <c:axId val="87871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20336"/>
        <c:crosses val="autoZero"/>
        <c:auto val="1"/>
        <c:lblAlgn val="ctr"/>
        <c:lblOffset val="100"/>
        <c:noMultiLvlLbl val="0"/>
      </c:catAx>
      <c:valAx>
        <c:axId val="87872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1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Analysis!$L$18</c:f>
              <c:strCache>
                <c:ptCount val="1"/>
                <c:pt idx="0">
                  <c:v>AMT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Analysis!$K$19:$K$22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Analysis!$L$19:$L$22</c:f>
              <c:numCache>
                <c:formatCode>General</c:formatCode>
                <c:ptCount val="4"/>
                <c:pt idx="0">
                  <c:v>1400188</c:v>
                </c:pt>
                <c:pt idx="1">
                  <c:v>720751</c:v>
                </c:pt>
                <c:pt idx="2">
                  <c:v>679738</c:v>
                </c:pt>
                <c:pt idx="3">
                  <c:v>778999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A-46BF-BAE2-F2E636E07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8740976"/>
        <c:axId val="878735696"/>
        <c:axId val="0"/>
      </c:bar3DChart>
      <c:catAx>
        <c:axId val="87874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35696"/>
        <c:crosses val="autoZero"/>
        <c:auto val="1"/>
        <c:lblAlgn val="ctr"/>
        <c:lblOffset val="100"/>
        <c:noMultiLvlLbl val="0"/>
      </c:catAx>
      <c:valAx>
        <c:axId val="87873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4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45740444984139"/>
          <c:y val="0.16481666470034997"/>
          <c:w val="0.83860459591093273"/>
          <c:h val="0.447489543694946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Dashboard!$B$66</c:f>
              <c:strCache>
                <c:ptCount val="1"/>
                <c:pt idx="0">
                  <c:v>18-25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Dashboard!$C$65:$J$65</c:f>
              <c:strCache>
                <c:ptCount val="8"/>
                <c:pt idx="0">
                  <c:v>Education</c:v>
                </c:pt>
                <c:pt idx="1">
                  <c:v>Entertainment</c:v>
                </c:pt>
                <c:pt idx="2">
                  <c:v>Food</c:v>
                </c:pt>
                <c:pt idx="3">
                  <c:v>Healthcare</c:v>
                </c:pt>
                <c:pt idx="4">
                  <c:v>Shopping</c:v>
                </c:pt>
                <c:pt idx="5">
                  <c:v>Travel</c:v>
                </c:pt>
                <c:pt idx="6">
                  <c:v>Utilities</c:v>
                </c:pt>
                <c:pt idx="7">
                  <c:v>Grand Total</c:v>
                </c:pt>
              </c:strCache>
            </c:strRef>
          </c:cat>
          <c:val>
            <c:numRef>
              <c:f>Dashboard!$C$66:$J$66</c:f>
              <c:numCache>
                <c:formatCode>General</c:formatCode>
                <c:ptCount val="8"/>
                <c:pt idx="0">
                  <c:v>651984</c:v>
                </c:pt>
                <c:pt idx="1">
                  <c:v>75317</c:v>
                </c:pt>
                <c:pt idx="2">
                  <c:v>219956</c:v>
                </c:pt>
                <c:pt idx="3">
                  <c:v>61435</c:v>
                </c:pt>
                <c:pt idx="4">
                  <c:v>218830</c:v>
                </c:pt>
                <c:pt idx="5">
                  <c:v>129188</c:v>
                </c:pt>
                <c:pt idx="6">
                  <c:v>43478</c:v>
                </c:pt>
                <c:pt idx="7">
                  <c:v>1400188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2-4248-87A6-AB3637603A6D}"/>
            </c:ext>
          </c:extLst>
        </c:ser>
        <c:ser>
          <c:idx val="1"/>
          <c:order val="1"/>
          <c:tx>
            <c:strRef>
              <c:f>Dashboard!$B$67</c:f>
              <c:strCache>
                <c:ptCount val="1"/>
                <c:pt idx="0">
                  <c:v>26-35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Dashboard!$C$65:$J$65</c:f>
              <c:strCache>
                <c:ptCount val="8"/>
                <c:pt idx="0">
                  <c:v>Education</c:v>
                </c:pt>
                <c:pt idx="1">
                  <c:v>Entertainment</c:v>
                </c:pt>
                <c:pt idx="2">
                  <c:v>Food</c:v>
                </c:pt>
                <c:pt idx="3">
                  <c:v>Healthcare</c:v>
                </c:pt>
                <c:pt idx="4">
                  <c:v>Shopping</c:v>
                </c:pt>
                <c:pt idx="5">
                  <c:v>Travel</c:v>
                </c:pt>
                <c:pt idx="6">
                  <c:v>Utilities</c:v>
                </c:pt>
                <c:pt idx="7">
                  <c:v>Grand Total</c:v>
                </c:pt>
              </c:strCache>
            </c:strRef>
          </c:cat>
          <c:val>
            <c:numRef>
              <c:f>Dashboard!$C$67:$J$67</c:f>
              <c:numCache>
                <c:formatCode>General</c:formatCode>
                <c:ptCount val="8"/>
                <c:pt idx="0">
                  <c:v>125116</c:v>
                </c:pt>
                <c:pt idx="1">
                  <c:v>47671</c:v>
                </c:pt>
                <c:pt idx="2">
                  <c:v>117259</c:v>
                </c:pt>
                <c:pt idx="3">
                  <c:v>65150</c:v>
                </c:pt>
                <c:pt idx="4">
                  <c:v>174093</c:v>
                </c:pt>
                <c:pt idx="5">
                  <c:v>130050</c:v>
                </c:pt>
                <c:pt idx="6">
                  <c:v>61412</c:v>
                </c:pt>
                <c:pt idx="7">
                  <c:v>720751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2-4248-87A6-AB3637603A6D}"/>
            </c:ext>
          </c:extLst>
        </c:ser>
        <c:ser>
          <c:idx val="2"/>
          <c:order val="2"/>
          <c:tx>
            <c:strRef>
              <c:f>Dashboard!$B$68</c:f>
              <c:strCache>
                <c:ptCount val="1"/>
                <c:pt idx="0">
                  <c:v>36-45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Dashboard!$C$65:$J$65</c:f>
              <c:strCache>
                <c:ptCount val="8"/>
                <c:pt idx="0">
                  <c:v>Education</c:v>
                </c:pt>
                <c:pt idx="1">
                  <c:v>Entertainment</c:v>
                </c:pt>
                <c:pt idx="2">
                  <c:v>Food</c:v>
                </c:pt>
                <c:pt idx="3">
                  <c:v>Healthcare</c:v>
                </c:pt>
                <c:pt idx="4">
                  <c:v>Shopping</c:v>
                </c:pt>
                <c:pt idx="5">
                  <c:v>Travel</c:v>
                </c:pt>
                <c:pt idx="6">
                  <c:v>Utilities</c:v>
                </c:pt>
                <c:pt idx="7">
                  <c:v>Grand Total</c:v>
                </c:pt>
              </c:strCache>
            </c:strRef>
          </c:cat>
          <c:val>
            <c:numRef>
              <c:f>Dashboard!$C$68:$J$68</c:f>
              <c:numCache>
                <c:formatCode>General</c:formatCode>
                <c:ptCount val="8"/>
                <c:pt idx="0">
                  <c:v>37268</c:v>
                </c:pt>
                <c:pt idx="1">
                  <c:v>48838</c:v>
                </c:pt>
                <c:pt idx="2">
                  <c:v>154545</c:v>
                </c:pt>
                <c:pt idx="3">
                  <c:v>41817</c:v>
                </c:pt>
                <c:pt idx="4">
                  <c:v>157078</c:v>
                </c:pt>
                <c:pt idx="5">
                  <c:v>161294</c:v>
                </c:pt>
                <c:pt idx="6">
                  <c:v>78898</c:v>
                </c:pt>
                <c:pt idx="7">
                  <c:v>679738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2-4248-87A6-AB3637603A6D}"/>
            </c:ext>
          </c:extLst>
        </c:ser>
        <c:ser>
          <c:idx val="3"/>
          <c:order val="3"/>
          <c:tx>
            <c:strRef>
              <c:f>Dashboard!$B$69</c:f>
              <c:strCache>
                <c:ptCount val="1"/>
                <c:pt idx="0">
                  <c:v>46-60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Dashboard!$C$65:$J$65</c:f>
              <c:strCache>
                <c:ptCount val="8"/>
                <c:pt idx="0">
                  <c:v>Education</c:v>
                </c:pt>
                <c:pt idx="1">
                  <c:v>Entertainment</c:v>
                </c:pt>
                <c:pt idx="2">
                  <c:v>Food</c:v>
                </c:pt>
                <c:pt idx="3">
                  <c:v>Healthcare</c:v>
                </c:pt>
                <c:pt idx="4">
                  <c:v>Shopping</c:v>
                </c:pt>
                <c:pt idx="5">
                  <c:v>Travel</c:v>
                </c:pt>
                <c:pt idx="6">
                  <c:v>Utilities</c:v>
                </c:pt>
                <c:pt idx="7">
                  <c:v>Grand Total</c:v>
                </c:pt>
              </c:strCache>
            </c:strRef>
          </c:cat>
          <c:val>
            <c:numRef>
              <c:f>Dashboard!$C$69:$J$69</c:f>
              <c:numCache>
                <c:formatCode>General</c:formatCode>
                <c:ptCount val="8"/>
                <c:pt idx="0">
                  <c:v>102212</c:v>
                </c:pt>
                <c:pt idx="1">
                  <c:v>62618</c:v>
                </c:pt>
                <c:pt idx="2">
                  <c:v>186650</c:v>
                </c:pt>
                <c:pt idx="3">
                  <c:v>83787</c:v>
                </c:pt>
                <c:pt idx="4">
                  <c:v>110402</c:v>
                </c:pt>
                <c:pt idx="5">
                  <c:v>121560</c:v>
                </c:pt>
                <c:pt idx="6">
                  <c:v>111770</c:v>
                </c:pt>
                <c:pt idx="7">
                  <c:v>778999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2-4248-87A6-AB3637603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378015"/>
        <c:axId val="736378975"/>
      </c:barChart>
      <c:catAx>
        <c:axId val="73637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378975"/>
        <c:crosses val="autoZero"/>
        <c:auto val="1"/>
        <c:lblAlgn val="ctr"/>
        <c:lblOffset val="100"/>
        <c:noMultiLvlLbl val="0"/>
      </c:catAx>
      <c:valAx>
        <c:axId val="73637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37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105194</xdr:colOff>
      <xdr:row>13</xdr:row>
      <xdr:rowOff>53806</xdr:rowOff>
    </xdr:from>
    <xdr:to>
      <xdr:col>10</xdr:col>
      <xdr:colOff>46464</xdr:colOff>
      <xdr:row>38</xdr:row>
      <xdr:rowOff>18585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C68892-F5AA-6213-7EAD-BFE8CEB42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611644</xdr:colOff>
      <xdr:row>41</xdr:row>
      <xdr:rowOff>145986</xdr:rowOff>
    </xdr:from>
    <xdr:to>
      <xdr:col>10</xdr:col>
      <xdr:colOff>9292</xdr:colOff>
      <xdr:row>59</xdr:row>
      <xdr:rowOff>46463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70BFE6-0628-D5CF-EA18-4CBF7BB48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15239</xdr:colOff>
      <xdr:row>12</xdr:row>
      <xdr:rowOff>129540</xdr:rowOff>
    </xdr:from>
    <xdr:to>
      <xdr:col>19</xdr:col>
      <xdr:colOff>613316</xdr:colOff>
      <xdr:row>38</xdr:row>
      <xdr:rowOff>18585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ED53A14-03F5-42CC-7A41-6CFD0E640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2974</xdr:colOff>
      <xdr:row>41</xdr:row>
      <xdr:rowOff>145988</xdr:rowOff>
    </xdr:from>
    <xdr:to>
      <xdr:col>19</xdr:col>
      <xdr:colOff>557561</xdr:colOff>
      <xdr:row>59</xdr:row>
      <xdr:rowOff>65049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1CF45F-F81A-7699-9B92-000EBFC9F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223520</xdr:colOff>
      <xdr:row>63</xdr:row>
      <xdr:rowOff>121334</xdr:rowOff>
    </xdr:from>
    <xdr:to>
      <xdr:col>19</xdr:col>
      <xdr:colOff>593627</xdr:colOff>
      <xdr:row>81</xdr:row>
      <xdr:rowOff>28542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C91DA18-1471-63B1-C6BF-AD13FF064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set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set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T SNGH" refreshedDate="46187.558709722223" createdVersion="8" refreshedVersion="8" minRefreshableVersion="3" recordCount="500" xr:uid="{0D13472E-C091-4A30-A350-36009182CE9F}">
  <cacheSource type="worksheet">
    <worksheetSource ref="A4:G504" sheet="Dataset" r:id="rId2"/>
  </cacheSource>
  <cacheFields count="7">
    <cacheField name="Person_ID" numFmtId="0">
      <sharedItems containsSemiMixedTypes="0" containsString="0" containsNumber="1" containsInteger="1" minValue="1" maxValue="500"/>
    </cacheField>
    <cacheField name="Age" numFmtId="0">
      <sharedItems containsSemiMixedTypes="0" containsString="0" containsNumber="1" containsInteger="1" minValue="18" maxValue="60" count="43">
        <n v="19"/>
        <n v="49"/>
        <n v="23"/>
        <n v="18"/>
        <n v="24"/>
        <n v="46"/>
        <n v="42"/>
        <n v="53"/>
        <n v="36"/>
        <n v="47"/>
        <n v="34"/>
        <n v="50"/>
        <n v="38"/>
        <n v="51"/>
        <n v="52"/>
        <n v="26"/>
        <n v="37"/>
        <n v="31"/>
        <n v="58"/>
        <n v="30"/>
        <n v="43"/>
        <n v="28"/>
        <n v="21"/>
        <n v="59"/>
        <n v="41"/>
        <n v="33"/>
        <n v="35"/>
        <n v="22"/>
        <n v="25"/>
        <n v="32"/>
        <n v="48"/>
        <n v="45"/>
        <n v="40"/>
        <n v="29"/>
        <n v="20"/>
        <n v="54"/>
        <n v="55"/>
        <n v="27"/>
        <n v="39"/>
        <n v="60"/>
        <n v="44"/>
        <n v="56"/>
        <n v="57"/>
      </sharedItems>
    </cacheField>
    <cacheField name="Gender" numFmtId="0">
      <sharedItems/>
    </cacheField>
    <cacheField name="Occupation" numFmtId="0">
      <sharedItems count="5">
        <s v="Student"/>
        <s v="Homemaker"/>
        <s v="Business Owner"/>
        <s v="Employee"/>
        <s v="Freelancer"/>
      </sharedItems>
    </cacheField>
    <cacheField name="Area" numFmtId="0">
      <sharedItems count="4">
        <s v="Area C"/>
        <s v="Area B"/>
        <s v="Area A"/>
        <s v="Area D"/>
      </sharedItems>
    </cacheField>
    <cacheField name="Category" numFmtId="0">
      <sharedItems count="7">
        <s v="Food"/>
        <s v="Utilities"/>
        <s v="Travel"/>
        <s v="Entertainment"/>
        <s v="Education"/>
        <s v="Healthcare"/>
        <s v="Shopping"/>
      </sharedItems>
    </cacheField>
    <cacheField name="Amount" numFmtId="0">
      <sharedItems containsSemiMixedTypes="0" containsString="0" containsNumber="1" containsInteger="1" minValue="767" maxValue="247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T SNGH" refreshedDate="46187.582024421296" createdVersion="8" refreshedVersion="8" minRefreshableVersion="3" recordCount="500" xr:uid="{04B3A25E-8F92-4DC0-A416-5D396E419CD0}">
  <cacheSource type="worksheet">
    <worksheetSource ref="A4:H504" sheet="Dataset" r:id="rId2"/>
  </cacheSource>
  <cacheFields count="8">
    <cacheField name="Person_ID" numFmtId="0">
      <sharedItems containsSemiMixedTypes="0" containsString="0" containsNumber="1" containsInteger="1" minValue="1" maxValue="500"/>
    </cacheField>
    <cacheField name="Age" numFmtId="0">
      <sharedItems containsSemiMixedTypes="0" containsString="0" containsNumber="1" containsInteger="1" minValue="18" maxValue="60"/>
    </cacheField>
    <cacheField name="Gender" numFmtId="0">
      <sharedItems count="2">
        <s v="Female"/>
        <s v="Male"/>
      </sharedItems>
    </cacheField>
    <cacheField name="Occupation" numFmtId="0">
      <sharedItems count="5">
        <s v="Student"/>
        <s v="Homemaker"/>
        <s v="Business Owner"/>
        <s v="Employee"/>
        <s v="Freelancer"/>
      </sharedItems>
    </cacheField>
    <cacheField name="Area" numFmtId="0">
      <sharedItems count="4">
        <s v="Area C"/>
        <s v="Area B"/>
        <s v="Area A"/>
        <s v="Area D"/>
      </sharedItems>
    </cacheField>
    <cacheField name="Category" numFmtId="0">
      <sharedItems count="7">
        <s v="Food"/>
        <s v="Utilities"/>
        <s v="Travel"/>
        <s v="Entertainment"/>
        <s v="Education"/>
        <s v="Healthcare"/>
        <s v="Shopping"/>
      </sharedItems>
    </cacheField>
    <cacheField name="Amount" numFmtId="0">
      <sharedItems containsSemiMixedTypes="0" containsString="0" containsNumber="1" containsInteger="1" minValue="767" maxValue="24745"/>
    </cacheField>
    <cacheField name="age group" numFmtId="0">
      <sharedItems count="4">
        <s v="18-25"/>
        <s v="46-60"/>
        <s v="36-45"/>
        <s v="26-3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s v="Female"/>
    <x v="0"/>
    <x v="0"/>
    <x v="0"/>
    <n v="8882"/>
  </r>
  <r>
    <n v="2"/>
    <x v="1"/>
    <s v="Female"/>
    <x v="1"/>
    <x v="0"/>
    <x v="1"/>
    <n v="2107"/>
  </r>
  <r>
    <n v="3"/>
    <x v="2"/>
    <s v="Male"/>
    <x v="0"/>
    <x v="1"/>
    <x v="0"/>
    <n v="5073"/>
  </r>
  <r>
    <n v="4"/>
    <x v="1"/>
    <s v="Male"/>
    <x v="2"/>
    <x v="2"/>
    <x v="2"/>
    <n v="8345"/>
  </r>
  <r>
    <n v="5"/>
    <x v="3"/>
    <s v="Male"/>
    <x v="0"/>
    <x v="1"/>
    <x v="0"/>
    <n v="8926"/>
  </r>
  <r>
    <n v="6"/>
    <x v="4"/>
    <s v="Female"/>
    <x v="0"/>
    <x v="0"/>
    <x v="3"/>
    <n v="801"/>
  </r>
  <r>
    <n v="7"/>
    <x v="5"/>
    <s v="Female"/>
    <x v="2"/>
    <x v="1"/>
    <x v="4"/>
    <n v="23930"/>
  </r>
  <r>
    <n v="8"/>
    <x v="6"/>
    <s v="Male"/>
    <x v="3"/>
    <x v="3"/>
    <x v="1"/>
    <n v="6093"/>
  </r>
  <r>
    <n v="9"/>
    <x v="7"/>
    <s v="Female"/>
    <x v="3"/>
    <x v="0"/>
    <x v="3"/>
    <n v="7441"/>
  </r>
  <r>
    <n v="10"/>
    <x v="8"/>
    <s v="Male"/>
    <x v="2"/>
    <x v="3"/>
    <x v="3"/>
    <n v="1893"/>
  </r>
  <r>
    <n v="11"/>
    <x v="9"/>
    <s v="Male"/>
    <x v="3"/>
    <x v="3"/>
    <x v="2"/>
    <n v="13758"/>
  </r>
  <r>
    <n v="12"/>
    <x v="10"/>
    <s v="Male"/>
    <x v="3"/>
    <x v="0"/>
    <x v="0"/>
    <n v="4382"/>
  </r>
  <r>
    <n v="13"/>
    <x v="11"/>
    <s v="Male"/>
    <x v="1"/>
    <x v="0"/>
    <x v="1"/>
    <n v="5960"/>
  </r>
  <r>
    <n v="14"/>
    <x v="12"/>
    <s v="Female"/>
    <x v="4"/>
    <x v="1"/>
    <x v="0"/>
    <n v="5894"/>
  </r>
  <r>
    <n v="15"/>
    <x v="13"/>
    <s v="Male"/>
    <x v="3"/>
    <x v="2"/>
    <x v="0"/>
    <n v="3082"/>
  </r>
  <r>
    <n v="16"/>
    <x v="2"/>
    <s v="Female"/>
    <x v="0"/>
    <x v="3"/>
    <x v="5"/>
    <n v="1005"/>
  </r>
  <r>
    <n v="17"/>
    <x v="0"/>
    <s v="Female"/>
    <x v="0"/>
    <x v="2"/>
    <x v="0"/>
    <n v="8852"/>
  </r>
  <r>
    <n v="18"/>
    <x v="4"/>
    <s v="Male"/>
    <x v="0"/>
    <x v="3"/>
    <x v="0"/>
    <n v="4141"/>
  </r>
  <r>
    <n v="19"/>
    <x v="14"/>
    <s v="Male"/>
    <x v="3"/>
    <x v="0"/>
    <x v="6"/>
    <n v="2779"/>
  </r>
  <r>
    <n v="20"/>
    <x v="15"/>
    <s v="Female"/>
    <x v="4"/>
    <x v="2"/>
    <x v="5"/>
    <n v="3359"/>
  </r>
  <r>
    <n v="21"/>
    <x v="16"/>
    <s v="Male"/>
    <x v="3"/>
    <x v="2"/>
    <x v="1"/>
    <n v="3972"/>
  </r>
  <r>
    <n v="22"/>
    <x v="17"/>
    <s v="Female"/>
    <x v="3"/>
    <x v="3"/>
    <x v="2"/>
    <n v="9764"/>
  </r>
  <r>
    <n v="23"/>
    <x v="18"/>
    <s v="Male"/>
    <x v="1"/>
    <x v="1"/>
    <x v="1"/>
    <n v="3964"/>
  </r>
  <r>
    <n v="24"/>
    <x v="19"/>
    <s v="Female"/>
    <x v="3"/>
    <x v="2"/>
    <x v="2"/>
    <n v="13098"/>
  </r>
  <r>
    <n v="25"/>
    <x v="20"/>
    <s v="Female"/>
    <x v="4"/>
    <x v="0"/>
    <x v="6"/>
    <n v="2925"/>
  </r>
  <r>
    <n v="26"/>
    <x v="2"/>
    <s v="Male"/>
    <x v="0"/>
    <x v="0"/>
    <x v="3"/>
    <n v="4968"/>
  </r>
  <r>
    <n v="27"/>
    <x v="21"/>
    <s v="Female"/>
    <x v="4"/>
    <x v="2"/>
    <x v="2"/>
    <n v="9295"/>
  </r>
  <r>
    <n v="28"/>
    <x v="2"/>
    <s v="Female"/>
    <x v="0"/>
    <x v="3"/>
    <x v="0"/>
    <n v="5600"/>
  </r>
  <r>
    <n v="29"/>
    <x v="22"/>
    <s v="Male"/>
    <x v="0"/>
    <x v="2"/>
    <x v="0"/>
    <n v="6125"/>
  </r>
  <r>
    <n v="30"/>
    <x v="2"/>
    <s v="Male"/>
    <x v="0"/>
    <x v="0"/>
    <x v="3"/>
    <n v="1593"/>
  </r>
  <r>
    <n v="31"/>
    <x v="23"/>
    <s v="Male"/>
    <x v="1"/>
    <x v="3"/>
    <x v="6"/>
    <n v="15053"/>
  </r>
  <r>
    <n v="32"/>
    <x v="24"/>
    <s v="Female"/>
    <x v="2"/>
    <x v="0"/>
    <x v="2"/>
    <n v="4672"/>
  </r>
  <r>
    <n v="33"/>
    <x v="25"/>
    <s v="Male"/>
    <x v="2"/>
    <x v="3"/>
    <x v="2"/>
    <n v="10578"/>
  </r>
  <r>
    <n v="34"/>
    <x v="3"/>
    <s v="Female"/>
    <x v="0"/>
    <x v="3"/>
    <x v="6"/>
    <n v="15787"/>
  </r>
  <r>
    <n v="35"/>
    <x v="26"/>
    <s v="Female"/>
    <x v="3"/>
    <x v="0"/>
    <x v="1"/>
    <n v="2376"/>
  </r>
  <r>
    <n v="36"/>
    <x v="8"/>
    <s v="Female"/>
    <x v="2"/>
    <x v="2"/>
    <x v="4"/>
    <n v="15298"/>
  </r>
  <r>
    <n v="37"/>
    <x v="25"/>
    <s v="Female"/>
    <x v="3"/>
    <x v="0"/>
    <x v="0"/>
    <n v="3924"/>
  </r>
  <r>
    <n v="38"/>
    <x v="27"/>
    <s v="Female"/>
    <x v="0"/>
    <x v="2"/>
    <x v="4"/>
    <n v="4690"/>
  </r>
  <r>
    <n v="39"/>
    <x v="24"/>
    <s v="Male"/>
    <x v="3"/>
    <x v="3"/>
    <x v="3"/>
    <n v="6286"/>
  </r>
  <r>
    <n v="40"/>
    <x v="11"/>
    <s v="Female"/>
    <x v="3"/>
    <x v="3"/>
    <x v="3"/>
    <n v="3318"/>
  </r>
  <r>
    <n v="41"/>
    <x v="28"/>
    <s v="Female"/>
    <x v="0"/>
    <x v="0"/>
    <x v="1"/>
    <n v="2292"/>
  </r>
  <r>
    <n v="42"/>
    <x v="4"/>
    <s v="Female"/>
    <x v="0"/>
    <x v="1"/>
    <x v="3"/>
    <n v="850"/>
  </r>
  <r>
    <n v="43"/>
    <x v="17"/>
    <s v="Female"/>
    <x v="3"/>
    <x v="0"/>
    <x v="1"/>
    <n v="2609"/>
  </r>
  <r>
    <n v="44"/>
    <x v="4"/>
    <s v="Female"/>
    <x v="3"/>
    <x v="0"/>
    <x v="4"/>
    <n v="3456"/>
  </r>
  <r>
    <n v="45"/>
    <x v="5"/>
    <s v="Male"/>
    <x v="3"/>
    <x v="2"/>
    <x v="1"/>
    <n v="3135"/>
  </r>
  <r>
    <n v="46"/>
    <x v="4"/>
    <s v="Female"/>
    <x v="0"/>
    <x v="3"/>
    <x v="0"/>
    <n v="1606"/>
  </r>
  <r>
    <n v="47"/>
    <x v="29"/>
    <s v="Male"/>
    <x v="3"/>
    <x v="2"/>
    <x v="2"/>
    <n v="3718"/>
  </r>
  <r>
    <n v="48"/>
    <x v="18"/>
    <s v="Male"/>
    <x v="2"/>
    <x v="0"/>
    <x v="6"/>
    <n v="17315"/>
  </r>
  <r>
    <n v="49"/>
    <x v="0"/>
    <s v="Male"/>
    <x v="0"/>
    <x v="3"/>
    <x v="5"/>
    <n v="10132"/>
  </r>
  <r>
    <n v="50"/>
    <x v="10"/>
    <s v="Male"/>
    <x v="3"/>
    <x v="3"/>
    <x v="6"/>
    <n v="16698"/>
  </r>
  <r>
    <n v="51"/>
    <x v="4"/>
    <s v="Female"/>
    <x v="0"/>
    <x v="0"/>
    <x v="0"/>
    <n v="2602"/>
  </r>
  <r>
    <n v="52"/>
    <x v="22"/>
    <s v="Male"/>
    <x v="0"/>
    <x v="2"/>
    <x v="0"/>
    <n v="3205"/>
  </r>
  <r>
    <n v="53"/>
    <x v="3"/>
    <s v="Male"/>
    <x v="0"/>
    <x v="3"/>
    <x v="4"/>
    <n v="20921"/>
  </r>
  <r>
    <n v="54"/>
    <x v="22"/>
    <s v="Female"/>
    <x v="0"/>
    <x v="0"/>
    <x v="4"/>
    <n v="12967"/>
  </r>
  <r>
    <n v="55"/>
    <x v="2"/>
    <s v="Male"/>
    <x v="0"/>
    <x v="2"/>
    <x v="4"/>
    <n v="8009"/>
  </r>
  <r>
    <n v="56"/>
    <x v="30"/>
    <s v="Male"/>
    <x v="3"/>
    <x v="3"/>
    <x v="2"/>
    <n v="4095"/>
  </r>
  <r>
    <n v="57"/>
    <x v="7"/>
    <s v="Male"/>
    <x v="3"/>
    <x v="0"/>
    <x v="0"/>
    <n v="7490"/>
  </r>
  <r>
    <n v="58"/>
    <x v="4"/>
    <s v="Male"/>
    <x v="4"/>
    <x v="2"/>
    <x v="6"/>
    <n v="13563"/>
  </r>
  <r>
    <n v="59"/>
    <x v="2"/>
    <s v="Female"/>
    <x v="3"/>
    <x v="0"/>
    <x v="2"/>
    <n v="4495"/>
  </r>
  <r>
    <n v="60"/>
    <x v="28"/>
    <s v="Male"/>
    <x v="3"/>
    <x v="2"/>
    <x v="3"/>
    <n v="3161"/>
  </r>
  <r>
    <n v="61"/>
    <x v="31"/>
    <s v="Male"/>
    <x v="4"/>
    <x v="3"/>
    <x v="0"/>
    <n v="2533"/>
  </r>
  <r>
    <n v="62"/>
    <x v="25"/>
    <s v="Male"/>
    <x v="1"/>
    <x v="1"/>
    <x v="4"/>
    <n v="5828"/>
  </r>
  <r>
    <n v="63"/>
    <x v="21"/>
    <s v="Male"/>
    <x v="3"/>
    <x v="1"/>
    <x v="6"/>
    <n v="8580"/>
  </r>
  <r>
    <n v="64"/>
    <x v="27"/>
    <s v="Male"/>
    <x v="4"/>
    <x v="1"/>
    <x v="0"/>
    <n v="7199"/>
  </r>
  <r>
    <n v="65"/>
    <x v="3"/>
    <s v="Female"/>
    <x v="0"/>
    <x v="3"/>
    <x v="1"/>
    <n v="2490"/>
  </r>
  <r>
    <n v="66"/>
    <x v="32"/>
    <s v="Female"/>
    <x v="2"/>
    <x v="0"/>
    <x v="3"/>
    <n v="1232"/>
  </r>
  <r>
    <n v="67"/>
    <x v="19"/>
    <s v="Female"/>
    <x v="4"/>
    <x v="3"/>
    <x v="2"/>
    <n v="4750"/>
  </r>
  <r>
    <n v="68"/>
    <x v="21"/>
    <s v="Male"/>
    <x v="2"/>
    <x v="2"/>
    <x v="1"/>
    <n v="3159"/>
  </r>
  <r>
    <n v="69"/>
    <x v="3"/>
    <s v="Female"/>
    <x v="0"/>
    <x v="3"/>
    <x v="1"/>
    <n v="5348"/>
  </r>
  <r>
    <n v="70"/>
    <x v="19"/>
    <s v="Female"/>
    <x v="3"/>
    <x v="2"/>
    <x v="5"/>
    <n v="6732"/>
  </r>
  <r>
    <n v="71"/>
    <x v="27"/>
    <s v="Female"/>
    <x v="3"/>
    <x v="2"/>
    <x v="5"/>
    <n v="2308"/>
  </r>
  <r>
    <n v="72"/>
    <x v="25"/>
    <s v="Female"/>
    <x v="3"/>
    <x v="3"/>
    <x v="1"/>
    <n v="6808"/>
  </r>
  <r>
    <n v="73"/>
    <x v="10"/>
    <s v="Female"/>
    <x v="3"/>
    <x v="2"/>
    <x v="0"/>
    <n v="7417"/>
  </r>
  <r>
    <n v="74"/>
    <x v="14"/>
    <s v="Female"/>
    <x v="3"/>
    <x v="1"/>
    <x v="2"/>
    <n v="5265"/>
  </r>
  <r>
    <n v="75"/>
    <x v="31"/>
    <s v="Male"/>
    <x v="4"/>
    <x v="1"/>
    <x v="6"/>
    <n v="5303"/>
  </r>
  <r>
    <n v="76"/>
    <x v="0"/>
    <s v="Female"/>
    <x v="0"/>
    <x v="2"/>
    <x v="4"/>
    <n v="5411"/>
  </r>
  <r>
    <n v="77"/>
    <x v="12"/>
    <s v="Female"/>
    <x v="3"/>
    <x v="1"/>
    <x v="2"/>
    <n v="2519"/>
  </r>
  <r>
    <n v="78"/>
    <x v="16"/>
    <s v="Male"/>
    <x v="4"/>
    <x v="2"/>
    <x v="1"/>
    <n v="3501"/>
  </r>
  <r>
    <n v="79"/>
    <x v="24"/>
    <s v="Female"/>
    <x v="3"/>
    <x v="1"/>
    <x v="0"/>
    <n v="8371"/>
  </r>
  <r>
    <n v="80"/>
    <x v="0"/>
    <s v="Female"/>
    <x v="0"/>
    <x v="3"/>
    <x v="4"/>
    <n v="14756"/>
  </r>
  <r>
    <n v="81"/>
    <x v="8"/>
    <s v="Male"/>
    <x v="1"/>
    <x v="3"/>
    <x v="0"/>
    <n v="3217"/>
  </r>
  <r>
    <n v="82"/>
    <x v="3"/>
    <s v="Female"/>
    <x v="0"/>
    <x v="1"/>
    <x v="4"/>
    <n v="5747"/>
  </r>
  <r>
    <n v="83"/>
    <x v="27"/>
    <s v="Female"/>
    <x v="0"/>
    <x v="1"/>
    <x v="4"/>
    <n v="15783"/>
  </r>
  <r>
    <n v="84"/>
    <x v="33"/>
    <s v="Male"/>
    <x v="2"/>
    <x v="2"/>
    <x v="5"/>
    <n v="7450"/>
  </r>
  <r>
    <n v="85"/>
    <x v="28"/>
    <s v="Male"/>
    <x v="3"/>
    <x v="0"/>
    <x v="2"/>
    <n v="9968"/>
  </r>
  <r>
    <n v="86"/>
    <x v="5"/>
    <s v="Male"/>
    <x v="2"/>
    <x v="1"/>
    <x v="2"/>
    <n v="4276"/>
  </r>
  <r>
    <n v="87"/>
    <x v="7"/>
    <s v="Male"/>
    <x v="3"/>
    <x v="3"/>
    <x v="0"/>
    <n v="8046"/>
  </r>
  <r>
    <n v="88"/>
    <x v="10"/>
    <s v="Male"/>
    <x v="2"/>
    <x v="2"/>
    <x v="6"/>
    <n v="4055"/>
  </r>
  <r>
    <n v="89"/>
    <x v="10"/>
    <s v="Female"/>
    <x v="3"/>
    <x v="3"/>
    <x v="4"/>
    <n v="14964"/>
  </r>
  <r>
    <n v="90"/>
    <x v="22"/>
    <s v="Male"/>
    <x v="0"/>
    <x v="3"/>
    <x v="0"/>
    <n v="5882"/>
  </r>
  <r>
    <n v="91"/>
    <x v="15"/>
    <s v="Male"/>
    <x v="1"/>
    <x v="2"/>
    <x v="0"/>
    <n v="6774"/>
  </r>
  <r>
    <n v="92"/>
    <x v="28"/>
    <s v="Female"/>
    <x v="3"/>
    <x v="3"/>
    <x v="5"/>
    <n v="6468"/>
  </r>
  <r>
    <n v="93"/>
    <x v="24"/>
    <s v="Female"/>
    <x v="4"/>
    <x v="3"/>
    <x v="3"/>
    <n v="1351"/>
  </r>
  <r>
    <n v="94"/>
    <x v="22"/>
    <s v="Male"/>
    <x v="0"/>
    <x v="1"/>
    <x v="4"/>
    <n v="24670"/>
  </r>
  <r>
    <n v="95"/>
    <x v="31"/>
    <s v="Female"/>
    <x v="3"/>
    <x v="0"/>
    <x v="2"/>
    <n v="14837"/>
  </r>
  <r>
    <n v="96"/>
    <x v="0"/>
    <s v="Male"/>
    <x v="0"/>
    <x v="1"/>
    <x v="3"/>
    <n v="5389"/>
  </r>
  <r>
    <n v="97"/>
    <x v="17"/>
    <s v="Female"/>
    <x v="1"/>
    <x v="1"/>
    <x v="5"/>
    <n v="10031"/>
  </r>
  <r>
    <n v="98"/>
    <x v="31"/>
    <s v="Female"/>
    <x v="3"/>
    <x v="3"/>
    <x v="2"/>
    <n v="13126"/>
  </r>
  <r>
    <n v="99"/>
    <x v="20"/>
    <s v="Male"/>
    <x v="3"/>
    <x v="1"/>
    <x v="0"/>
    <n v="1929"/>
  </r>
  <r>
    <n v="100"/>
    <x v="7"/>
    <s v="Female"/>
    <x v="3"/>
    <x v="3"/>
    <x v="4"/>
    <n v="6431"/>
  </r>
  <r>
    <n v="101"/>
    <x v="33"/>
    <s v="Male"/>
    <x v="1"/>
    <x v="3"/>
    <x v="1"/>
    <n v="4949"/>
  </r>
  <r>
    <n v="102"/>
    <x v="4"/>
    <s v="Female"/>
    <x v="4"/>
    <x v="1"/>
    <x v="1"/>
    <n v="5102"/>
  </r>
  <r>
    <n v="103"/>
    <x v="6"/>
    <s v="Female"/>
    <x v="3"/>
    <x v="0"/>
    <x v="2"/>
    <n v="8878"/>
  </r>
  <r>
    <n v="104"/>
    <x v="0"/>
    <s v="Male"/>
    <x v="0"/>
    <x v="1"/>
    <x v="6"/>
    <n v="3327"/>
  </r>
  <r>
    <n v="105"/>
    <x v="34"/>
    <s v="Female"/>
    <x v="0"/>
    <x v="1"/>
    <x v="4"/>
    <n v="11160"/>
  </r>
  <r>
    <n v="106"/>
    <x v="25"/>
    <s v="Female"/>
    <x v="3"/>
    <x v="2"/>
    <x v="6"/>
    <n v="11066"/>
  </r>
  <r>
    <n v="107"/>
    <x v="35"/>
    <s v="Female"/>
    <x v="3"/>
    <x v="1"/>
    <x v="0"/>
    <n v="7615"/>
  </r>
  <r>
    <n v="108"/>
    <x v="36"/>
    <s v="Female"/>
    <x v="2"/>
    <x v="0"/>
    <x v="0"/>
    <n v="5017"/>
  </r>
  <r>
    <n v="109"/>
    <x v="19"/>
    <s v="Female"/>
    <x v="1"/>
    <x v="3"/>
    <x v="6"/>
    <n v="5658"/>
  </r>
  <r>
    <n v="110"/>
    <x v="2"/>
    <s v="Female"/>
    <x v="0"/>
    <x v="0"/>
    <x v="4"/>
    <n v="20964"/>
  </r>
  <r>
    <n v="111"/>
    <x v="11"/>
    <s v="Female"/>
    <x v="4"/>
    <x v="0"/>
    <x v="3"/>
    <n v="767"/>
  </r>
  <r>
    <n v="112"/>
    <x v="28"/>
    <s v="Male"/>
    <x v="0"/>
    <x v="3"/>
    <x v="6"/>
    <n v="2466"/>
  </r>
  <r>
    <n v="113"/>
    <x v="19"/>
    <s v="Female"/>
    <x v="3"/>
    <x v="0"/>
    <x v="3"/>
    <n v="6022"/>
  </r>
  <r>
    <n v="114"/>
    <x v="22"/>
    <s v="Male"/>
    <x v="0"/>
    <x v="2"/>
    <x v="3"/>
    <n v="4736"/>
  </r>
  <r>
    <n v="115"/>
    <x v="28"/>
    <s v="Female"/>
    <x v="0"/>
    <x v="3"/>
    <x v="4"/>
    <n v="5100"/>
  </r>
  <r>
    <n v="116"/>
    <x v="8"/>
    <s v="Female"/>
    <x v="2"/>
    <x v="1"/>
    <x v="2"/>
    <n v="7794"/>
  </r>
  <r>
    <n v="117"/>
    <x v="4"/>
    <s v="Female"/>
    <x v="4"/>
    <x v="2"/>
    <x v="6"/>
    <n v="14306"/>
  </r>
  <r>
    <n v="118"/>
    <x v="27"/>
    <s v="Male"/>
    <x v="0"/>
    <x v="2"/>
    <x v="6"/>
    <n v="8226"/>
  </r>
  <r>
    <n v="119"/>
    <x v="0"/>
    <s v="Female"/>
    <x v="0"/>
    <x v="3"/>
    <x v="4"/>
    <n v="17312"/>
  </r>
  <r>
    <n v="120"/>
    <x v="37"/>
    <s v="Female"/>
    <x v="1"/>
    <x v="2"/>
    <x v="0"/>
    <n v="3950"/>
  </r>
  <r>
    <n v="121"/>
    <x v="11"/>
    <s v="Female"/>
    <x v="1"/>
    <x v="0"/>
    <x v="2"/>
    <n v="2033"/>
  </r>
  <r>
    <n v="122"/>
    <x v="25"/>
    <s v="Male"/>
    <x v="3"/>
    <x v="2"/>
    <x v="6"/>
    <n v="18386"/>
  </r>
  <r>
    <n v="123"/>
    <x v="26"/>
    <s v="Female"/>
    <x v="3"/>
    <x v="0"/>
    <x v="4"/>
    <n v="7971"/>
  </r>
  <r>
    <n v="124"/>
    <x v="14"/>
    <s v="Female"/>
    <x v="3"/>
    <x v="1"/>
    <x v="3"/>
    <n v="7591"/>
  </r>
  <r>
    <n v="125"/>
    <x v="28"/>
    <s v="Male"/>
    <x v="0"/>
    <x v="1"/>
    <x v="2"/>
    <n v="12472"/>
  </r>
  <r>
    <n v="126"/>
    <x v="8"/>
    <s v="Female"/>
    <x v="3"/>
    <x v="1"/>
    <x v="0"/>
    <n v="5451"/>
  </r>
  <r>
    <n v="127"/>
    <x v="36"/>
    <s v="Female"/>
    <x v="2"/>
    <x v="3"/>
    <x v="4"/>
    <n v="11836"/>
  </r>
  <r>
    <n v="128"/>
    <x v="32"/>
    <s v="Male"/>
    <x v="3"/>
    <x v="3"/>
    <x v="1"/>
    <n v="1607"/>
  </r>
  <r>
    <n v="129"/>
    <x v="31"/>
    <s v="Female"/>
    <x v="1"/>
    <x v="1"/>
    <x v="0"/>
    <n v="1969"/>
  </r>
  <r>
    <n v="130"/>
    <x v="4"/>
    <s v="Female"/>
    <x v="0"/>
    <x v="0"/>
    <x v="5"/>
    <n v="5760"/>
  </r>
  <r>
    <n v="131"/>
    <x v="22"/>
    <s v="Female"/>
    <x v="0"/>
    <x v="2"/>
    <x v="3"/>
    <n v="4986"/>
  </r>
  <r>
    <n v="132"/>
    <x v="28"/>
    <s v="Male"/>
    <x v="0"/>
    <x v="1"/>
    <x v="2"/>
    <n v="10632"/>
  </r>
  <r>
    <n v="133"/>
    <x v="27"/>
    <s v="Female"/>
    <x v="0"/>
    <x v="1"/>
    <x v="0"/>
    <n v="3697"/>
  </r>
  <r>
    <n v="134"/>
    <x v="32"/>
    <s v="Male"/>
    <x v="4"/>
    <x v="0"/>
    <x v="0"/>
    <n v="6366"/>
  </r>
  <r>
    <n v="135"/>
    <x v="27"/>
    <s v="Male"/>
    <x v="0"/>
    <x v="3"/>
    <x v="0"/>
    <n v="2798"/>
  </r>
  <r>
    <n v="136"/>
    <x v="26"/>
    <s v="Female"/>
    <x v="2"/>
    <x v="2"/>
    <x v="0"/>
    <n v="1838"/>
  </r>
  <r>
    <n v="137"/>
    <x v="37"/>
    <s v="Male"/>
    <x v="3"/>
    <x v="3"/>
    <x v="6"/>
    <n v="5096"/>
  </r>
  <r>
    <n v="138"/>
    <x v="18"/>
    <s v="Male"/>
    <x v="1"/>
    <x v="1"/>
    <x v="5"/>
    <n v="7790"/>
  </r>
  <r>
    <n v="139"/>
    <x v="32"/>
    <s v="Female"/>
    <x v="1"/>
    <x v="1"/>
    <x v="6"/>
    <n v="6189"/>
  </r>
  <r>
    <n v="140"/>
    <x v="9"/>
    <s v="Male"/>
    <x v="3"/>
    <x v="3"/>
    <x v="2"/>
    <n v="8075"/>
  </r>
  <r>
    <n v="141"/>
    <x v="15"/>
    <s v="Male"/>
    <x v="4"/>
    <x v="1"/>
    <x v="2"/>
    <n v="13189"/>
  </r>
  <r>
    <n v="142"/>
    <x v="26"/>
    <s v="Male"/>
    <x v="4"/>
    <x v="1"/>
    <x v="0"/>
    <n v="2881"/>
  </r>
  <r>
    <n v="143"/>
    <x v="0"/>
    <s v="Male"/>
    <x v="0"/>
    <x v="0"/>
    <x v="5"/>
    <n v="1267"/>
  </r>
  <r>
    <n v="144"/>
    <x v="9"/>
    <s v="Male"/>
    <x v="3"/>
    <x v="1"/>
    <x v="1"/>
    <n v="4337"/>
  </r>
  <r>
    <n v="145"/>
    <x v="33"/>
    <s v="Female"/>
    <x v="1"/>
    <x v="0"/>
    <x v="5"/>
    <n v="5358"/>
  </r>
  <r>
    <n v="146"/>
    <x v="34"/>
    <s v="Male"/>
    <x v="0"/>
    <x v="1"/>
    <x v="0"/>
    <n v="7330"/>
  </r>
  <r>
    <n v="147"/>
    <x v="13"/>
    <s v="Female"/>
    <x v="1"/>
    <x v="3"/>
    <x v="0"/>
    <n v="5308"/>
  </r>
  <r>
    <n v="148"/>
    <x v="15"/>
    <s v="Female"/>
    <x v="3"/>
    <x v="0"/>
    <x v="0"/>
    <n v="5193"/>
  </r>
  <r>
    <n v="149"/>
    <x v="28"/>
    <s v="Female"/>
    <x v="4"/>
    <x v="0"/>
    <x v="0"/>
    <n v="8154"/>
  </r>
  <r>
    <n v="150"/>
    <x v="26"/>
    <s v="Female"/>
    <x v="4"/>
    <x v="2"/>
    <x v="3"/>
    <n v="4430"/>
  </r>
  <r>
    <n v="151"/>
    <x v="30"/>
    <s v="Male"/>
    <x v="1"/>
    <x v="1"/>
    <x v="1"/>
    <n v="6552"/>
  </r>
  <r>
    <n v="152"/>
    <x v="36"/>
    <s v="Male"/>
    <x v="3"/>
    <x v="2"/>
    <x v="0"/>
    <n v="7346"/>
  </r>
  <r>
    <n v="153"/>
    <x v="11"/>
    <s v="Female"/>
    <x v="3"/>
    <x v="3"/>
    <x v="0"/>
    <n v="3468"/>
  </r>
  <r>
    <n v="154"/>
    <x v="2"/>
    <s v="Male"/>
    <x v="0"/>
    <x v="3"/>
    <x v="4"/>
    <n v="20970"/>
  </r>
  <r>
    <n v="155"/>
    <x v="4"/>
    <s v="Female"/>
    <x v="0"/>
    <x v="3"/>
    <x v="0"/>
    <n v="6194"/>
  </r>
  <r>
    <n v="156"/>
    <x v="9"/>
    <s v="Female"/>
    <x v="3"/>
    <x v="2"/>
    <x v="4"/>
    <n v="10568"/>
  </r>
  <r>
    <n v="157"/>
    <x v="38"/>
    <s v="Male"/>
    <x v="1"/>
    <x v="1"/>
    <x v="1"/>
    <n v="3617"/>
  </r>
  <r>
    <n v="158"/>
    <x v="6"/>
    <s v="Male"/>
    <x v="3"/>
    <x v="3"/>
    <x v="2"/>
    <n v="11945"/>
  </r>
  <r>
    <n v="159"/>
    <x v="3"/>
    <s v="Female"/>
    <x v="0"/>
    <x v="1"/>
    <x v="4"/>
    <n v="8974"/>
  </r>
  <r>
    <n v="160"/>
    <x v="29"/>
    <s v="Male"/>
    <x v="3"/>
    <x v="1"/>
    <x v="0"/>
    <n v="3765"/>
  </r>
  <r>
    <n v="161"/>
    <x v="39"/>
    <s v="Female"/>
    <x v="2"/>
    <x v="2"/>
    <x v="2"/>
    <n v="7871"/>
  </r>
  <r>
    <n v="162"/>
    <x v="6"/>
    <s v="Male"/>
    <x v="3"/>
    <x v="2"/>
    <x v="2"/>
    <n v="13599"/>
  </r>
  <r>
    <n v="163"/>
    <x v="24"/>
    <s v="Male"/>
    <x v="3"/>
    <x v="0"/>
    <x v="0"/>
    <n v="4919"/>
  </r>
  <r>
    <n v="164"/>
    <x v="13"/>
    <s v="Female"/>
    <x v="3"/>
    <x v="2"/>
    <x v="0"/>
    <n v="2714"/>
  </r>
  <r>
    <n v="165"/>
    <x v="1"/>
    <s v="Male"/>
    <x v="3"/>
    <x v="2"/>
    <x v="3"/>
    <n v="833"/>
  </r>
  <r>
    <n v="166"/>
    <x v="30"/>
    <s v="Male"/>
    <x v="1"/>
    <x v="1"/>
    <x v="0"/>
    <n v="7141"/>
  </r>
  <r>
    <n v="167"/>
    <x v="33"/>
    <s v="Female"/>
    <x v="1"/>
    <x v="3"/>
    <x v="0"/>
    <n v="3070"/>
  </r>
  <r>
    <n v="168"/>
    <x v="9"/>
    <s v="Male"/>
    <x v="3"/>
    <x v="1"/>
    <x v="1"/>
    <n v="1085"/>
  </r>
  <r>
    <n v="169"/>
    <x v="16"/>
    <s v="Male"/>
    <x v="4"/>
    <x v="0"/>
    <x v="2"/>
    <n v="8707"/>
  </r>
  <r>
    <n v="170"/>
    <x v="9"/>
    <s v="Female"/>
    <x v="3"/>
    <x v="1"/>
    <x v="2"/>
    <n v="2261"/>
  </r>
  <r>
    <n v="171"/>
    <x v="38"/>
    <s v="Female"/>
    <x v="1"/>
    <x v="2"/>
    <x v="5"/>
    <n v="1920"/>
  </r>
  <r>
    <n v="172"/>
    <x v="22"/>
    <s v="Female"/>
    <x v="4"/>
    <x v="2"/>
    <x v="3"/>
    <n v="3700"/>
  </r>
  <r>
    <n v="173"/>
    <x v="5"/>
    <s v="Male"/>
    <x v="1"/>
    <x v="1"/>
    <x v="5"/>
    <n v="5966"/>
  </r>
  <r>
    <n v="174"/>
    <x v="21"/>
    <s v="Female"/>
    <x v="4"/>
    <x v="0"/>
    <x v="2"/>
    <n v="6416"/>
  </r>
  <r>
    <n v="175"/>
    <x v="14"/>
    <s v="Female"/>
    <x v="3"/>
    <x v="3"/>
    <x v="2"/>
    <n v="10574"/>
  </r>
  <r>
    <n v="176"/>
    <x v="13"/>
    <s v="Female"/>
    <x v="3"/>
    <x v="2"/>
    <x v="5"/>
    <n v="3363"/>
  </r>
  <r>
    <n v="177"/>
    <x v="40"/>
    <s v="Male"/>
    <x v="4"/>
    <x v="0"/>
    <x v="6"/>
    <n v="18155"/>
  </r>
  <r>
    <n v="178"/>
    <x v="37"/>
    <s v="Female"/>
    <x v="4"/>
    <x v="2"/>
    <x v="2"/>
    <n v="4740"/>
  </r>
  <r>
    <n v="179"/>
    <x v="34"/>
    <s v="Female"/>
    <x v="0"/>
    <x v="1"/>
    <x v="6"/>
    <n v="18834"/>
  </r>
  <r>
    <n v="180"/>
    <x v="10"/>
    <s v="Male"/>
    <x v="3"/>
    <x v="2"/>
    <x v="4"/>
    <n v="23751"/>
  </r>
  <r>
    <n v="181"/>
    <x v="8"/>
    <s v="Male"/>
    <x v="3"/>
    <x v="1"/>
    <x v="0"/>
    <n v="5583"/>
  </r>
  <r>
    <n v="182"/>
    <x v="26"/>
    <s v="Female"/>
    <x v="3"/>
    <x v="3"/>
    <x v="3"/>
    <n v="7948"/>
  </r>
  <r>
    <n v="183"/>
    <x v="27"/>
    <s v="Female"/>
    <x v="0"/>
    <x v="1"/>
    <x v="4"/>
    <n v="16874"/>
  </r>
  <r>
    <n v="184"/>
    <x v="22"/>
    <s v="Female"/>
    <x v="0"/>
    <x v="2"/>
    <x v="0"/>
    <n v="5083"/>
  </r>
  <r>
    <n v="185"/>
    <x v="31"/>
    <s v="Female"/>
    <x v="4"/>
    <x v="2"/>
    <x v="0"/>
    <n v="1650"/>
  </r>
  <r>
    <n v="186"/>
    <x v="20"/>
    <s v="Male"/>
    <x v="4"/>
    <x v="3"/>
    <x v="0"/>
    <n v="7363"/>
  </r>
  <r>
    <n v="187"/>
    <x v="25"/>
    <s v="Female"/>
    <x v="1"/>
    <x v="1"/>
    <x v="1"/>
    <n v="2782"/>
  </r>
  <r>
    <n v="188"/>
    <x v="22"/>
    <s v="Female"/>
    <x v="0"/>
    <x v="2"/>
    <x v="0"/>
    <n v="5652"/>
  </r>
  <r>
    <n v="189"/>
    <x v="2"/>
    <s v="Male"/>
    <x v="0"/>
    <x v="1"/>
    <x v="4"/>
    <n v="19311"/>
  </r>
  <r>
    <n v="190"/>
    <x v="38"/>
    <s v="Male"/>
    <x v="4"/>
    <x v="2"/>
    <x v="6"/>
    <n v="17118"/>
  </r>
  <r>
    <n v="191"/>
    <x v="2"/>
    <s v="Male"/>
    <x v="0"/>
    <x v="1"/>
    <x v="4"/>
    <n v="22149"/>
  </r>
  <r>
    <n v="192"/>
    <x v="19"/>
    <s v="Male"/>
    <x v="3"/>
    <x v="1"/>
    <x v="2"/>
    <n v="2394"/>
  </r>
  <r>
    <n v="193"/>
    <x v="6"/>
    <s v="Female"/>
    <x v="1"/>
    <x v="2"/>
    <x v="0"/>
    <n v="1533"/>
  </r>
  <r>
    <n v="194"/>
    <x v="29"/>
    <s v="Female"/>
    <x v="4"/>
    <x v="2"/>
    <x v="2"/>
    <n v="6108"/>
  </r>
  <r>
    <n v="195"/>
    <x v="0"/>
    <s v="Female"/>
    <x v="0"/>
    <x v="2"/>
    <x v="4"/>
    <n v="20042"/>
  </r>
  <r>
    <n v="196"/>
    <x v="16"/>
    <s v="Female"/>
    <x v="4"/>
    <x v="1"/>
    <x v="6"/>
    <n v="12957"/>
  </r>
  <r>
    <n v="197"/>
    <x v="12"/>
    <s v="Female"/>
    <x v="1"/>
    <x v="3"/>
    <x v="0"/>
    <n v="7909"/>
  </r>
  <r>
    <n v="198"/>
    <x v="17"/>
    <s v="Male"/>
    <x v="2"/>
    <x v="3"/>
    <x v="2"/>
    <n v="9574"/>
  </r>
  <r>
    <n v="199"/>
    <x v="18"/>
    <s v="Male"/>
    <x v="2"/>
    <x v="1"/>
    <x v="1"/>
    <n v="6761"/>
  </r>
  <r>
    <n v="200"/>
    <x v="25"/>
    <s v="Male"/>
    <x v="1"/>
    <x v="0"/>
    <x v="1"/>
    <n v="1315"/>
  </r>
  <r>
    <n v="201"/>
    <x v="7"/>
    <s v="Male"/>
    <x v="1"/>
    <x v="2"/>
    <x v="0"/>
    <n v="5607"/>
  </r>
  <r>
    <n v="202"/>
    <x v="4"/>
    <s v="Female"/>
    <x v="0"/>
    <x v="0"/>
    <x v="0"/>
    <n v="5305"/>
  </r>
  <r>
    <n v="203"/>
    <x v="5"/>
    <s v="Female"/>
    <x v="4"/>
    <x v="0"/>
    <x v="1"/>
    <n v="5983"/>
  </r>
  <r>
    <n v="204"/>
    <x v="11"/>
    <s v="Female"/>
    <x v="4"/>
    <x v="1"/>
    <x v="0"/>
    <n v="3336"/>
  </r>
  <r>
    <n v="205"/>
    <x v="35"/>
    <s v="Female"/>
    <x v="2"/>
    <x v="2"/>
    <x v="0"/>
    <n v="8670"/>
  </r>
  <r>
    <n v="206"/>
    <x v="7"/>
    <s v="Female"/>
    <x v="1"/>
    <x v="1"/>
    <x v="5"/>
    <n v="6070"/>
  </r>
  <r>
    <n v="207"/>
    <x v="38"/>
    <s v="Male"/>
    <x v="3"/>
    <x v="2"/>
    <x v="6"/>
    <n v="6174"/>
  </r>
  <r>
    <n v="208"/>
    <x v="4"/>
    <s v="Male"/>
    <x v="0"/>
    <x v="3"/>
    <x v="4"/>
    <n v="6977"/>
  </r>
  <r>
    <n v="209"/>
    <x v="6"/>
    <s v="Male"/>
    <x v="1"/>
    <x v="1"/>
    <x v="0"/>
    <n v="6515"/>
  </r>
  <r>
    <n v="210"/>
    <x v="20"/>
    <s v="Female"/>
    <x v="1"/>
    <x v="1"/>
    <x v="0"/>
    <n v="7124"/>
  </r>
  <r>
    <n v="211"/>
    <x v="37"/>
    <s v="Male"/>
    <x v="3"/>
    <x v="2"/>
    <x v="1"/>
    <n v="4022"/>
  </r>
  <r>
    <n v="212"/>
    <x v="4"/>
    <s v="Female"/>
    <x v="3"/>
    <x v="1"/>
    <x v="2"/>
    <n v="11979"/>
  </r>
  <r>
    <n v="213"/>
    <x v="13"/>
    <s v="Male"/>
    <x v="3"/>
    <x v="1"/>
    <x v="2"/>
    <n v="12126"/>
  </r>
  <r>
    <n v="214"/>
    <x v="27"/>
    <s v="Male"/>
    <x v="0"/>
    <x v="0"/>
    <x v="0"/>
    <n v="2162"/>
  </r>
  <r>
    <n v="215"/>
    <x v="16"/>
    <s v="Female"/>
    <x v="3"/>
    <x v="3"/>
    <x v="1"/>
    <n v="863"/>
  </r>
  <r>
    <n v="216"/>
    <x v="27"/>
    <s v="Male"/>
    <x v="3"/>
    <x v="3"/>
    <x v="6"/>
    <n v="11705"/>
  </r>
  <r>
    <n v="217"/>
    <x v="28"/>
    <s v="Male"/>
    <x v="3"/>
    <x v="3"/>
    <x v="2"/>
    <n v="1652"/>
  </r>
  <r>
    <n v="218"/>
    <x v="17"/>
    <s v="Female"/>
    <x v="3"/>
    <x v="2"/>
    <x v="0"/>
    <n v="5266"/>
  </r>
  <r>
    <n v="219"/>
    <x v="15"/>
    <s v="Male"/>
    <x v="2"/>
    <x v="2"/>
    <x v="0"/>
    <n v="7930"/>
  </r>
  <r>
    <n v="220"/>
    <x v="36"/>
    <s v="Male"/>
    <x v="3"/>
    <x v="2"/>
    <x v="1"/>
    <n v="2784"/>
  </r>
  <r>
    <n v="221"/>
    <x v="14"/>
    <s v="Female"/>
    <x v="3"/>
    <x v="1"/>
    <x v="4"/>
    <n v="18950"/>
  </r>
  <r>
    <n v="222"/>
    <x v="27"/>
    <s v="Male"/>
    <x v="0"/>
    <x v="3"/>
    <x v="5"/>
    <n v="6621"/>
  </r>
  <r>
    <n v="223"/>
    <x v="38"/>
    <s v="Male"/>
    <x v="4"/>
    <x v="1"/>
    <x v="0"/>
    <n v="8901"/>
  </r>
  <r>
    <n v="224"/>
    <x v="25"/>
    <s v="Female"/>
    <x v="3"/>
    <x v="2"/>
    <x v="6"/>
    <n v="6562"/>
  </r>
  <r>
    <n v="225"/>
    <x v="7"/>
    <s v="Female"/>
    <x v="3"/>
    <x v="0"/>
    <x v="1"/>
    <n v="1718"/>
  </r>
  <r>
    <n v="226"/>
    <x v="36"/>
    <s v="Female"/>
    <x v="2"/>
    <x v="2"/>
    <x v="1"/>
    <n v="3840"/>
  </r>
  <r>
    <n v="227"/>
    <x v="22"/>
    <s v="Male"/>
    <x v="4"/>
    <x v="0"/>
    <x v="6"/>
    <n v="15389"/>
  </r>
  <r>
    <n v="228"/>
    <x v="28"/>
    <s v="Female"/>
    <x v="0"/>
    <x v="1"/>
    <x v="0"/>
    <n v="4625"/>
  </r>
  <r>
    <n v="229"/>
    <x v="4"/>
    <s v="Female"/>
    <x v="0"/>
    <x v="2"/>
    <x v="4"/>
    <n v="9476"/>
  </r>
  <r>
    <n v="230"/>
    <x v="22"/>
    <s v="Male"/>
    <x v="0"/>
    <x v="0"/>
    <x v="6"/>
    <n v="8131"/>
  </r>
  <r>
    <n v="231"/>
    <x v="27"/>
    <s v="Female"/>
    <x v="3"/>
    <x v="0"/>
    <x v="6"/>
    <n v="4682"/>
  </r>
  <r>
    <n v="232"/>
    <x v="4"/>
    <s v="Female"/>
    <x v="0"/>
    <x v="0"/>
    <x v="3"/>
    <n v="4330"/>
  </r>
  <r>
    <n v="233"/>
    <x v="41"/>
    <s v="Female"/>
    <x v="1"/>
    <x v="1"/>
    <x v="1"/>
    <n v="2283"/>
  </r>
  <r>
    <n v="234"/>
    <x v="14"/>
    <s v="Male"/>
    <x v="1"/>
    <x v="0"/>
    <x v="0"/>
    <n v="7512"/>
  </r>
  <r>
    <n v="235"/>
    <x v="3"/>
    <s v="Female"/>
    <x v="0"/>
    <x v="1"/>
    <x v="5"/>
    <n v="2653"/>
  </r>
  <r>
    <n v="236"/>
    <x v="2"/>
    <s v="Female"/>
    <x v="0"/>
    <x v="1"/>
    <x v="2"/>
    <n v="3763"/>
  </r>
  <r>
    <n v="237"/>
    <x v="4"/>
    <s v="Female"/>
    <x v="3"/>
    <x v="0"/>
    <x v="2"/>
    <n v="1487"/>
  </r>
  <r>
    <n v="238"/>
    <x v="12"/>
    <s v="Male"/>
    <x v="4"/>
    <x v="0"/>
    <x v="5"/>
    <n v="5255"/>
  </r>
  <r>
    <n v="239"/>
    <x v="23"/>
    <s v="Male"/>
    <x v="1"/>
    <x v="2"/>
    <x v="3"/>
    <n v="7877"/>
  </r>
  <r>
    <n v="240"/>
    <x v="42"/>
    <s v="Female"/>
    <x v="1"/>
    <x v="2"/>
    <x v="0"/>
    <n v="3672"/>
  </r>
  <r>
    <n v="241"/>
    <x v="23"/>
    <s v="Female"/>
    <x v="1"/>
    <x v="0"/>
    <x v="5"/>
    <n v="10147"/>
  </r>
  <r>
    <n v="242"/>
    <x v="22"/>
    <s v="Female"/>
    <x v="0"/>
    <x v="3"/>
    <x v="0"/>
    <n v="2884"/>
  </r>
  <r>
    <n v="243"/>
    <x v="13"/>
    <s v="Female"/>
    <x v="1"/>
    <x v="2"/>
    <x v="1"/>
    <n v="3132"/>
  </r>
  <r>
    <n v="244"/>
    <x v="4"/>
    <s v="Male"/>
    <x v="3"/>
    <x v="3"/>
    <x v="0"/>
    <n v="6658"/>
  </r>
  <r>
    <n v="245"/>
    <x v="40"/>
    <s v="Female"/>
    <x v="3"/>
    <x v="0"/>
    <x v="1"/>
    <n v="3782"/>
  </r>
  <r>
    <n v="246"/>
    <x v="37"/>
    <s v="Male"/>
    <x v="1"/>
    <x v="1"/>
    <x v="1"/>
    <n v="3472"/>
  </r>
  <r>
    <n v="247"/>
    <x v="35"/>
    <s v="Female"/>
    <x v="3"/>
    <x v="1"/>
    <x v="6"/>
    <n v="19706"/>
  </r>
  <r>
    <n v="248"/>
    <x v="39"/>
    <s v="Male"/>
    <x v="2"/>
    <x v="0"/>
    <x v="3"/>
    <n v="6757"/>
  </r>
  <r>
    <n v="249"/>
    <x v="30"/>
    <s v="Female"/>
    <x v="4"/>
    <x v="0"/>
    <x v="4"/>
    <n v="19011"/>
  </r>
  <r>
    <n v="250"/>
    <x v="17"/>
    <s v="Female"/>
    <x v="1"/>
    <x v="1"/>
    <x v="3"/>
    <n v="2886"/>
  </r>
  <r>
    <n v="251"/>
    <x v="41"/>
    <s v="Male"/>
    <x v="1"/>
    <x v="0"/>
    <x v="0"/>
    <n v="2517"/>
  </r>
  <r>
    <n v="252"/>
    <x v="28"/>
    <s v="Female"/>
    <x v="0"/>
    <x v="1"/>
    <x v="1"/>
    <n v="5944"/>
  </r>
  <r>
    <n v="253"/>
    <x v="15"/>
    <s v="Male"/>
    <x v="3"/>
    <x v="0"/>
    <x v="0"/>
    <n v="2407"/>
  </r>
  <r>
    <n v="254"/>
    <x v="14"/>
    <s v="Male"/>
    <x v="1"/>
    <x v="3"/>
    <x v="1"/>
    <n v="2226"/>
  </r>
  <r>
    <n v="255"/>
    <x v="16"/>
    <s v="Male"/>
    <x v="3"/>
    <x v="1"/>
    <x v="3"/>
    <n v="1970"/>
  </r>
  <r>
    <n v="256"/>
    <x v="3"/>
    <s v="Male"/>
    <x v="0"/>
    <x v="2"/>
    <x v="0"/>
    <n v="1796"/>
  </r>
  <r>
    <n v="257"/>
    <x v="16"/>
    <s v="Female"/>
    <x v="3"/>
    <x v="3"/>
    <x v="2"/>
    <n v="6272"/>
  </r>
  <r>
    <n v="258"/>
    <x v="4"/>
    <s v="Male"/>
    <x v="0"/>
    <x v="2"/>
    <x v="4"/>
    <n v="23024"/>
  </r>
  <r>
    <n v="259"/>
    <x v="23"/>
    <s v="Male"/>
    <x v="1"/>
    <x v="2"/>
    <x v="5"/>
    <n v="11066"/>
  </r>
  <r>
    <n v="260"/>
    <x v="34"/>
    <s v="Female"/>
    <x v="0"/>
    <x v="3"/>
    <x v="3"/>
    <n v="928"/>
  </r>
  <r>
    <n v="261"/>
    <x v="34"/>
    <s v="Male"/>
    <x v="0"/>
    <x v="3"/>
    <x v="4"/>
    <n v="9204"/>
  </r>
  <r>
    <n v="262"/>
    <x v="0"/>
    <s v="Female"/>
    <x v="0"/>
    <x v="2"/>
    <x v="6"/>
    <n v="19670"/>
  </r>
  <r>
    <n v="263"/>
    <x v="36"/>
    <s v="Female"/>
    <x v="1"/>
    <x v="2"/>
    <x v="0"/>
    <n v="5479"/>
  </r>
  <r>
    <n v="264"/>
    <x v="21"/>
    <s v="Male"/>
    <x v="4"/>
    <x v="3"/>
    <x v="6"/>
    <n v="8646"/>
  </r>
  <r>
    <n v="265"/>
    <x v="40"/>
    <s v="Male"/>
    <x v="3"/>
    <x v="0"/>
    <x v="0"/>
    <n v="2004"/>
  </r>
  <r>
    <n v="266"/>
    <x v="1"/>
    <s v="Male"/>
    <x v="2"/>
    <x v="3"/>
    <x v="6"/>
    <n v="19622"/>
  </r>
  <r>
    <n v="267"/>
    <x v="7"/>
    <s v="Male"/>
    <x v="3"/>
    <x v="0"/>
    <x v="1"/>
    <n v="2309"/>
  </r>
  <r>
    <n v="268"/>
    <x v="5"/>
    <s v="Female"/>
    <x v="3"/>
    <x v="0"/>
    <x v="2"/>
    <n v="13631"/>
  </r>
  <r>
    <n v="269"/>
    <x v="35"/>
    <s v="Female"/>
    <x v="3"/>
    <x v="1"/>
    <x v="3"/>
    <n v="3253"/>
  </r>
  <r>
    <n v="270"/>
    <x v="2"/>
    <s v="Female"/>
    <x v="4"/>
    <x v="0"/>
    <x v="2"/>
    <n v="13606"/>
  </r>
  <r>
    <n v="271"/>
    <x v="22"/>
    <s v="Female"/>
    <x v="0"/>
    <x v="3"/>
    <x v="4"/>
    <n v="18648"/>
  </r>
  <r>
    <n v="272"/>
    <x v="7"/>
    <s v="Female"/>
    <x v="2"/>
    <x v="2"/>
    <x v="0"/>
    <n v="1881"/>
  </r>
  <r>
    <n v="273"/>
    <x v="9"/>
    <s v="Male"/>
    <x v="3"/>
    <x v="0"/>
    <x v="0"/>
    <n v="3792"/>
  </r>
  <r>
    <n v="274"/>
    <x v="28"/>
    <s v="Male"/>
    <x v="4"/>
    <x v="1"/>
    <x v="1"/>
    <n v="1381"/>
  </r>
  <r>
    <n v="275"/>
    <x v="20"/>
    <s v="Male"/>
    <x v="3"/>
    <x v="3"/>
    <x v="1"/>
    <n v="4840"/>
  </r>
  <r>
    <n v="276"/>
    <x v="26"/>
    <s v="Male"/>
    <x v="3"/>
    <x v="0"/>
    <x v="1"/>
    <n v="1949"/>
  </r>
  <r>
    <n v="277"/>
    <x v="1"/>
    <s v="Female"/>
    <x v="2"/>
    <x v="2"/>
    <x v="0"/>
    <n v="3328"/>
  </r>
  <r>
    <n v="278"/>
    <x v="5"/>
    <s v="Male"/>
    <x v="4"/>
    <x v="1"/>
    <x v="0"/>
    <n v="6835"/>
  </r>
  <r>
    <n v="279"/>
    <x v="33"/>
    <s v="Female"/>
    <x v="1"/>
    <x v="3"/>
    <x v="0"/>
    <n v="1942"/>
  </r>
  <r>
    <n v="280"/>
    <x v="22"/>
    <s v="Male"/>
    <x v="0"/>
    <x v="0"/>
    <x v="4"/>
    <n v="21363"/>
  </r>
  <r>
    <n v="281"/>
    <x v="31"/>
    <s v="Female"/>
    <x v="3"/>
    <x v="0"/>
    <x v="6"/>
    <n v="17266"/>
  </r>
  <r>
    <n v="282"/>
    <x v="15"/>
    <s v="Male"/>
    <x v="3"/>
    <x v="3"/>
    <x v="2"/>
    <n v="4291"/>
  </r>
  <r>
    <n v="283"/>
    <x v="33"/>
    <s v="Female"/>
    <x v="4"/>
    <x v="1"/>
    <x v="2"/>
    <n v="7176"/>
  </r>
  <r>
    <n v="284"/>
    <x v="34"/>
    <s v="Male"/>
    <x v="0"/>
    <x v="0"/>
    <x v="2"/>
    <n v="14686"/>
  </r>
  <r>
    <n v="285"/>
    <x v="36"/>
    <s v="Female"/>
    <x v="3"/>
    <x v="0"/>
    <x v="2"/>
    <n v="7010"/>
  </r>
  <r>
    <n v="286"/>
    <x v="18"/>
    <s v="Male"/>
    <x v="2"/>
    <x v="2"/>
    <x v="3"/>
    <n v="3565"/>
  </r>
  <r>
    <n v="287"/>
    <x v="15"/>
    <s v="Female"/>
    <x v="4"/>
    <x v="2"/>
    <x v="0"/>
    <n v="1749"/>
  </r>
  <r>
    <n v="288"/>
    <x v="34"/>
    <s v="Male"/>
    <x v="0"/>
    <x v="1"/>
    <x v="4"/>
    <n v="8253"/>
  </r>
  <r>
    <n v="289"/>
    <x v="22"/>
    <s v="Male"/>
    <x v="0"/>
    <x v="2"/>
    <x v="5"/>
    <n v="9466"/>
  </r>
  <r>
    <n v="290"/>
    <x v="26"/>
    <s v="Male"/>
    <x v="2"/>
    <x v="3"/>
    <x v="3"/>
    <n v="2318"/>
  </r>
  <r>
    <n v="291"/>
    <x v="8"/>
    <s v="Male"/>
    <x v="4"/>
    <x v="2"/>
    <x v="1"/>
    <n v="4694"/>
  </r>
  <r>
    <n v="292"/>
    <x v="9"/>
    <s v="Male"/>
    <x v="4"/>
    <x v="2"/>
    <x v="3"/>
    <n v="6684"/>
  </r>
  <r>
    <n v="293"/>
    <x v="30"/>
    <s v="Female"/>
    <x v="3"/>
    <x v="0"/>
    <x v="5"/>
    <n v="1973"/>
  </r>
  <r>
    <n v="294"/>
    <x v="24"/>
    <s v="Female"/>
    <x v="4"/>
    <x v="3"/>
    <x v="2"/>
    <n v="8818"/>
  </r>
  <r>
    <n v="295"/>
    <x v="5"/>
    <s v="Female"/>
    <x v="4"/>
    <x v="3"/>
    <x v="5"/>
    <n v="6178"/>
  </r>
  <r>
    <n v="296"/>
    <x v="11"/>
    <s v="Female"/>
    <x v="3"/>
    <x v="0"/>
    <x v="1"/>
    <n v="1053"/>
  </r>
  <r>
    <n v="297"/>
    <x v="2"/>
    <s v="Male"/>
    <x v="3"/>
    <x v="3"/>
    <x v="0"/>
    <n v="7605"/>
  </r>
  <r>
    <n v="298"/>
    <x v="24"/>
    <s v="Male"/>
    <x v="4"/>
    <x v="3"/>
    <x v="3"/>
    <n v="3721"/>
  </r>
  <r>
    <n v="299"/>
    <x v="31"/>
    <s v="Female"/>
    <x v="3"/>
    <x v="0"/>
    <x v="1"/>
    <n v="3853"/>
  </r>
  <r>
    <n v="300"/>
    <x v="19"/>
    <s v="Female"/>
    <x v="4"/>
    <x v="0"/>
    <x v="6"/>
    <n v="14493"/>
  </r>
  <r>
    <n v="301"/>
    <x v="26"/>
    <s v="Male"/>
    <x v="2"/>
    <x v="1"/>
    <x v="1"/>
    <n v="3409"/>
  </r>
  <r>
    <n v="302"/>
    <x v="36"/>
    <s v="Female"/>
    <x v="2"/>
    <x v="2"/>
    <x v="2"/>
    <n v="13673"/>
  </r>
  <r>
    <n v="303"/>
    <x v="12"/>
    <s v="Male"/>
    <x v="3"/>
    <x v="0"/>
    <x v="1"/>
    <n v="837"/>
  </r>
  <r>
    <n v="304"/>
    <x v="15"/>
    <s v="Female"/>
    <x v="3"/>
    <x v="1"/>
    <x v="1"/>
    <n v="6825"/>
  </r>
  <r>
    <n v="305"/>
    <x v="3"/>
    <s v="Female"/>
    <x v="0"/>
    <x v="2"/>
    <x v="3"/>
    <n v="2732"/>
  </r>
  <r>
    <n v="306"/>
    <x v="34"/>
    <s v="Male"/>
    <x v="0"/>
    <x v="0"/>
    <x v="3"/>
    <n v="6189"/>
  </r>
  <r>
    <n v="307"/>
    <x v="2"/>
    <s v="Male"/>
    <x v="3"/>
    <x v="3"/>
    <x v="5"/>
    <n v="9024"/>
  </r>
  <r>
    <n v="308"/>
    <x v="38"/>
    <s v="Female"/>
    <x v="4"/>
    <x v="1"/>
    <x v="3"/>
    <n v="2466"/>
  </r>
  <r>
    <n v="309"/>
    <x v="32"/>
    <s v="Female"/>
    <x v="3"/>
    <x v="3"/>
    <x v="1"/>
    <n v="2676"/>
  </r>
  <r>
    <n v="310"/>
    <x v="25"/>
    <s v="Male"/>
    <x v="3"/>
    <x v="0"/>
    <x v="3"/>
    <n v="2676"/>
  </r>
  <r>
    <n v="311"/>
    <x v="32"/>
    <s v="Male"/>
    <x v="3"/>
    <x v="0"/>
    <x v="0"/>
    <n v="5456"/>
  </r>
  <r>
    <n v="312"/>
    <x v="19"/>
    <s v="Male"/>
    <x v="4"/>
    <x v="2"/>
    <x v="3"/>
    <n v="1146"/>
  </r>
  <r>
    <n v="313"/>
    <x v="16"/>
    <s v="Female"/>
    <x v="3"/>
    <x v="3"/>
    <x v="0"/>
    <n v="3059"/>
  </r>
  <r>
    <n v="314"/>
    <x v="20"/>
    <s v="Female"/>
    <x v="2"/>
    <x v="3"/>
    <x v="0"/>
    <n v="3157"/>
  </r>
  <r>
    <n v="315"/>
    <x v="13"/>
    <s v="Female"/>
    <x v="3"/>
    <x v="3"/>
    <x v="1"/>
    <n v="4295"/>
  </r>
  <r>
    <n v="316"/>
    <x v="30"/>
    <s v="Female"/>
    <x v="2"/>
    <x v="3"/>
    <x v="0"/>
    <n v="4721"/>
  </r>
  <r>
    <n v="317"/>
    <x v="8"/>
    <s v="Male"/>
    <x v="3"/>
    <x v="3"/>
    <x v="5"/>
    <n v="8677"/>
  </r>
  <r>
    <n v="318"/>
    <x v="24"/>
    <s v="Male"/>
    <x v="3"/>
    <x v="3"/>
    <x v="3"/>
    <n v="4710"/>
  </r>
  <r>
    <n v="319"/>
    <x v="33"/>
    <s v="Female"/>
    <x v="3"/>
    <x v="3"/>
    <x v="0"/>
    <n v="6352"/>
  </r>
  <r>
    <n v="320"/>
    <x v="28"/>
    <s v="Male"/>
    <x v="3"/>
    <x v="2"/>
    <x v="2"/>
    <n v="4316"/>
  </r>
  <r>
    <n v="321"/>
    <x v="21"/>
    <s v="Male"/>
    <x v="3"/>
    <x v="2"/>
    <x v="4"/>
    <n v="9661"/>
  </r>
  <r>
    <n v="322"/>
    <x v="24"/>
    <s v="Male"/>
    <x v="4"/>
    <x v="3"/>
    <x v="2"/>
    <n v="2801"/>
  </r>
  <r>
    <n v="323"/>
    <x v="30"/>
    <s v="Female"/>
    <x v="2"/>
    <x v="1"/>
    <x v="0"/>
    <n v="3411"/>
  </r>
  <r>
    <n v="324"/>
    <x v="37"/>
    <s v="Female"/>
    <x v="1"/>
    <x v="1"/>
    <x v="5"/>
    <n v="5412"/>
  </r>
  <r>
    <n v="325"/>
    <x v="29"/>
    <s v="Male"/>
    <x v="1"/>
    <x v="0"/>
    <x v="0"/>
    <n v="5573"/>
  </r>
  <r>
    <n v="326"/>
    <x v="19"/>
    <s v="Male"/>
    <x v="1"/>
    <x v="1"/>
    <x v="5"/>
    <n v="6487"/>
  </r>
  <r>
    <n v="327"/>
    <x v="11"/>
    <s v="Female"/>
    <x v="2"/>
    <x v="3"/>
    <x v="1"/>
    <n v="2430"/>
  </r>
  <r>
    <n v="328"/>
    <x v="20"/>
    <s v="Male"/>
    <x v="2"/>
    <x v="1"/>
    <x v="6"/>
    <n v="11315"/>
  </r>
  <r>
    <n v="329"/>
    <x v="3"/>
    <s v="Female"/>
    <x v="0"/>
    <x v="3"/>
    <x v="4"/>
    <n v="16905"/>
  </r>
  <r>
    <n v="330"/>
    <x v="10"/>
    <s v="Female"/>
    <x v="2"/>
    <x v="0"/>
    <x v="2"/>
    <n v="10734"/>
  </r>
  <r>
    <n v="331"/>
    <x v="26"/>
    <s v="Female"/>
    <x v="3"/>
    <x v="1"/>
    <x v="6"/>
    <n v="10484"/>
  </r>
  <r>
    <n v="332"/>
    <x v="6"/>
    <s v="Female"/>
    <x v="3"/>
    <x v="2"/>
    <x v="2"/>
    <n v="7098"/>
  </r>
  <r>
    <n v="333"/>
    <x v="38"/>
    <s v="Female"/>
    <x v="4"/>
    <x v="0"/>
    <x v="6"/>
    <n v="18700"/>
  </r>
  <r>
    <n v="334"/>
    <x v="32"/>
    <s v="Male"/>
    <x v="1"/>
    <x v="3"/>
    <x v="1"/>
    <n v="1935"/>
  </r>
  <r>
    <n v="335"/>
    <x v="29"/>
    <s v="Female"/>
    <x v="3"/>
    <x v="0"/>
    <x v="3"/>
    <n v="4452"/>
  </r>
  <r>
    <n v="336"/>
    <x v="7"/>
    <s v="Female"/>
    <x v="3"/>
    <x v="1"/>
    <x v="1"/>
    <n v="4475"/>
  </r>
  <r>
    <n v="337"/>
    <x v="5"/>
    <s v="Female"/>
    <x v="1"/>
    <x v="2"/>
    <x v="0"/>
    <n v="8377"/>
  </r>
  <r>
    <n v="338"/>
    <x v="38"/>
    <s v="Male"/>
    <x v="2"/>
    <x v="2"/>
    <x v="6"/>
    <n v="7910"/>
  </r>
  <r>
    <n v="339"/>
    <x v="38"/>
    <s v="Female"/>
    <x v="1"/>
    <x v="2"/>
    <x v="5"/>
    <n v="8879"/>
  </r>
  <r>
    <n v="340"/>
    <x v="28"/>
    <s v="Female"/>
    <x v="0"/>
    <x v="1"/>
    <x v="4"/>
    <n v="11407"/>
  </r>
  <r>
    <n v="341"/>
    <x v="28"/>
    <s v="Female"/>
    <x v="3"/>
    <x v="0"/>
    <x v="2"/>
    <n v="12528"/>
  </r>
  <r>
    <n v="342"/>
    <x v="27"/>
    <s v="Female"/>
    <x v="0"/>
    <x v="0"/>
    <x v="0"/>
    <n v="1866"/>
  </r>
  <r>
    <n v="343"/>
    <x v="38"/>
    <s v="Male"/>
    <x v="3"/>
    <x v="1"/>
    <x v="2"/>
    <n v="2807"/>
  </r>
  <r>
    <n v="344"/>
    <x v="36"/>
    <s v="Female"/>
    <x v="3"/>
    <x v="1"/>
    <x v="5"/>
    <n v="10227"/>
  </r>
  <r>
    <n v="345"/>
    <x v="36"/>
    <s v="Male"/>
    <x v="2"/>
    <x v="2"/>
    <x v="1"/>
    <n v="6374"/>
  </r>
  <r>
    <n v="346"/>
    <x v="9"/>
    <s v="Female"/>
    <x v="4"/>
    <x v="3"/>
    <x v="2"/>
    <n v="3526"/>
  </r>
  <r>
    <n v="347"/>
    <x v="24"/>
    <s v="Male"/>
    <x v="3"/>
    <x v="0"/>
    <x v="6"/>
    <n v="10061"/>
  </r>
  <r>
    <n v="348"/>
    <x v="17"/>
    <s v="Male"/>
    <x v="3"/>
    <x v="0"/>
    <x v="5"/>
    <n v="2696"/>
  </r>
  <r>
    <n v="349"/>
    <x v="31"/>
    <s v="Male"/>
    <x v="2"/>
    <x v="2"/>
    <x v="5"/>
    <n v="5148"/>
  </r>
  <r>
    <n v="350"/>
    <x v="40"/>
    <s v="Male"/>
    <x v="4"/>
    <x v="2"/>
    <x v="3"/>
    <n v="5917"/>
  </r>
  <r>
    <n v="351"/>
    <x v="40"/>
    <s v="Male"/>
    <x v="4"/>
    <x v="3"/>
    <x v="2"/>
    <n v="4040"/>
  </r>
  <r>
    <n v="352"/>
    <x v="30"/>
    <s v="Male"/>
    <x v="1"/>
    <x v="0"/>
    <x v="5"/>
    <n v="5656"/>
  </r>
  <r>
    <n v="353"/>
    <x v="25"/>
    <s v="Female"/>
    <x v="2"/>
    <x v="2"/>
    <x v="1"/>
    <n v="2599"/>
  </r>
  <r>
    <n v="354"/>
    <x v="20"/>
    <s v="Male"/>
    <x v="1"/>
    <x v="2"/>
    <x v="1"/>
    <n v="3707"/>
  </r>
  <r>
    <n v="355"/>
    <x v="34"/>
    <s v="Male"/>
    <x v="0"/>
    <x v="3"/>
    <x v="4"/>
    <n v="21144"/>
  </r>
  <r>
    <n v="356"/>
    <x v="37"/>
    <s v="Female"/>
    <x v="2"/>
    <x v="2"/>
    <x v="6"/>
    <n v="18033"/>
  </r>
  <r>
    <n v="357"/>
    <x v="38"/>
    <s v="Female"/>
    <x v="2"/>
    <x v="1"/>
    <x v="0"/>
    <n v="3801"/>
  </r>
  <r>
    <n v="358"/>
    <x v="25"/>
    <s v="Female"/>
    <x v="3"/>
    <x v="0"/>
    <x v="5"/>
    <n v="11842"/>
  </r>
  <r>
    <n v="359"/>
    <x v="27"/>
    <s v="Male"/>
    <x v="0"/>
    <x v="2"/>
    <x v="4"/>
    <n v="18190"/>
  </r>
  <r>
    <n v="360"/>
    <x v="22"/>
    <s v="Female"/>
    <x v="0"/>
    <x v="2"/>
    <x v="0"/>
    <n v="6681"/>
  </r>
  <r>
    <n v="361"/>
    <x v="40"/>
    <s v="Female"/>
    <x v="1"/>
    <x v="3"/>
    <x v="0"/>
    <n v="6085"/>
  </r>
  <r>
    <n v="362"/>
    <x v="34"/>
    <s v="Male"/>
    <x v="0"/>
    <x v="3"/>
    <x v="4"/>
    <n v="8177"/>
  </r>
  <r>
    <n v="363"/>
    <x v="34"/>
    <s v="Male"/>
    <x v="0"/>
    <x v="1"/>
    <x v="0"/>
    <n v="4190"/>
  </r>
  <r>
    <n v="364"/>
    <x v="0"/>
    <s v="Female"/>
    <x v="0"/>
    <x v="2"/>
    <x v="0"/>
    <n v="5427"/>
  </r>
  <r>
    <n v="365"/>
    <x v="40"/>
    <s v="Male"/>
    <x v="4"/>
    <x v="0"/>
    <x v="1"/>
    <n v="7000"/>
  </r>
  <r>
    <n v="366"/>
    <x v="34"/>
    <s v="Male"/>
    <x v="0"/>
    <x v="3"/>
    <x v="6"/>
    <n v="8983"/>
  </r>
  <r>
    <n v="367"/>
    <x v="21"/>
    <s v="Male"/>
    <x v="3"/>
    <x v="3"/>
    <x v="4"/>
    <n v="21959"/>
  </r>
  <r>
    <n v="368"/>
    <x v="4"/>
    <s v="Female"/>
    <x v="3"/>
    <x v="2"/>
    <x v="1"/>
    <n v="4156"/>
  </r>
  <r>
    <n v="369"/>
    <x v="38"/>
    <s v="Male"/>
    <x v="2"/>
    <x v="1"/>
    <x v="0"/>
    <n v="2723"/>
  </r>
  <r>
    <n v="370"/>
    <x v="13"/>
    <s v="Female"/>
    <x v="2"/>
    <x v="0"/>
    <x v="0"/>
    <n v="6188"/>
  </r>
  <r>
    <n v="371"/>
    <x v="21"/>
    <s v="Male"/>
    <x v="3"/>
    <x v="0"/>
    <x v="2"/>
    <n v="14225"/>
  </r>
  <r>
    <n v="372"/>
    <x v="0"/>
    <s v="Female"/>
    <x v="0"/>
    <x v="3"/>
    <x v="4"/>
    <n v="17083"/>
  </r>
  <r>
    <n v="373"/>
    <x v="37"/>
    <s v="Female"/>
    <x v="3"/>
    <x v="1"/>
    <x v="4"/>
    <n v="20830"/>
  </r>
  <r>
    <n v="374"/>
    <x v="15"/>
    <s v="Female"/>
    <x v="3"/>
    <x v="2"/>
    <x v="6"/>
    <n v="9192"/>
  </r>
  <r>
    <n v="375"/>
    <x v="4"/>
    <s v="Male"/>
    <x v="0"/>
    <x v="0"/>
    <x v="0"/>
    <n v="5641"/>
  </r>
  <r>
    <n v="376"/>
    <x v="28"/>
    <s v="Male"/>
    <x v="0"/>
    <x v="3"/>
    <x v="0"/>
    <n v="3329"/>
  </r>
  <r>
    <n v="377"/>
    <x v="16"/>
    <s v="Female"/>
    <x v="3"/>
    <x v="0"/>
    <x v="3"/>
    <n v="6476"/>
  </r>
  <r>
    <n v="378"/>
    <x v="34"/>
    <s v="Male"/>
    <x v="0"/>
    <x v="1"/>
    <x v="0"/>
    <n v="2165"/>
  </r>
  <r>
    <n v="379"/>
    <x v="28"/>
    <s v="Male"/>
    <x v="0"/>
    <x v="2"/>
    <x v="6"/>
    <n v="18137"/>
  </r>
  <r>
    <n v="380"/>
    <x v="4"/>
    <s v="Male"/>
    <x v="0"/>
    <x v="2"/>
    <x v="0"/>
    <n v="4539"/>
  </r>
  <r>
    <n v="381"/>
    <x v="41"/>
    <s v="Male"/>
    <x v="1"/>
    <x v="1"/>
    <x v="5"/>
    <n v="4004"/>
  </r>
  <r>
    <n v="382"/>
    <x v="6"/>
    <s v="Male"/>
    <x v="3"/>
    <x v="1"/>
    <x v="1"/>
    <n v="4112"/>
  </r>
  <r>
    <n v="383"/>
    <x v="9"/>
    <s v="Female"/>
    <x v="1"/>
    <x v="2"/>
    <x v="0"/>
    <n v="5617"/>
  </r>
  <r>
    <n v="384"/>
    <x v="16"/>
    <s v="Female"/>
    <x v="3"/>
    <x v="0"/>
    <x v="1"/>
    <n v="2004"/>
  </r>
  <r>
    <n v="385"/>
    <x v="28"/>
    <s v="Male"/>
    <x v="3"/>
    <x v="0"/>
    <x v="1"/>
    <n v="3258"/>
  </r>
  <r>
    <n v="386"/>
    <x v="14"/>
    <s v="Male"/>
    <x v="3"/>
    <x v="2"/>
    <x v="0"/>
    <n v="7812"/>
  </r>
  <r>
    <n v="387"/>
    <x v="17"/>
    <s v="Female"/>
    <x v="1"/>
    <x v="0"/>
    <x v="0"/>
    <n v="6246"/>
  </r>
  <r>
    <n v="388"/>
    <x v="0"/>
    <s v="Male"/>
    <x v="0"/>
    <x v="0"/>
    <x v="4"/>
    <n v="4621"/>
  </r>
  <r>
    <n v="389"/>
    <x v="14"/>
    <s v="Male"/>
    <x v="3"/>
    <x v="0"/>
    <x v="6"/>
    <n v="17030"/>
  </r>
  <r>
    <n v="390"/>
    <x v="41"/>
    <s v="Male"/>
    <x v="1"/>
    <x v="2"/>
    <x v="1"/>
    <n v="4087"/>
  </r>
  <r>
    <n v="391"/>
    <x v="34"/>
    <s v="Female"/>
    <x v="0"/>
    <x v="0"/>
    <x v="0"/>
    <n v="8412"/>
  </r>
  <r>
    <n v="392"/>
    <x v="10"/>
    <s v="Female"/>
    <x v="4"/>
    <x v="3"/>
    <x v="0"/>
    <n v="7727"/>
  </r>
  <r>
    <n v="393"/>
    <x v="35"/>
    <s v="Female"/>
    <x v="3"/>
    <x v="1"/>
    <x v="0"/>
    <n v="4964"/>
  </r>
  <r>
    <n v="394"/>
    <x v="19"/>
    <s v="Male"/>
    <x v="2"/>
    <x v="0"/>
    <x v="1"/>
    <n v="3946"/>
  </r>
  <r>
    <n v="395"/>
    <x v="6"/>
    <s v="Female"/>
    <x v="3"/>
    <x v="0"/>
    <x v="1"/>
    <n v="2174"/>
  </r>
  <r>
    <n v="396"/>
    <x v="10"/>
    <s v="Male"/>
    <x v="3"/>
    <x v="2"/>
    <x v="0"/>
    <n v="4116"/>
  </r>
  <r>
    <n v="397"/>
    <x v="4"/>
    <s v="Female"/>
    <x v="0"/>
    <x v="0"/>
    <x v="6"/>
    <n v="13928"/>
  </r>
  <r>
    <n v="398"/>
    <x v="36"/>
    <s v="Female"/>
    <x v="3"/>
    <x v="2"/>
    <x v="5"/>
    <n v="3446"/>
  </r>
  <r>
    <n v="399"/>
    <x v="26"/>
    <s v="Male"/>
    <x v="2"/>
    <x v="3"/>
    <x v="6"/>
    <n v="2158"/>
  </r>
  <r>
    <n v="400"/>
    <x v="27"/>
    <s v="Female"/>
    <x v="0"/>
    <x v="0"/>
    <x v="0"/>
    <n v="7333"/>
  </r>
  <r>
    <n v="401"/>
    <x v="2"/>
    <s v="Female"/>
    <x v="0"/>
    <x v="2"/>
    <x v="4"/>
    <n v="20784"/>
  </r>
  <r>
    <n v="402"/>
    <x v="13"/>
    <s v="Female"/>
    <x v="2"/>
    <x v="0"/>
    <x v="6"/>
    <n v="18897"/>
  </r>
  <r>
    <n v="403"/>
    <x v="37"/>
    <s v="Female"/>
    <x v="1"/>
    <x v="1"/>
    <x v="1"/>
    <n v="1188"/>
  </r>
  <r>
    <n v="404"/>
    <x v="31"/>
    <s v="Male"/>
    <x v="3"/>
    <x v="0"/>
    <x v="0"/>
    <n v="2645"/>
  </r>
  <r>
    <n v="405"/>
    <x v="4"/>
    <s v="Female"/>
    <x v="0"/>
    <x v="2"/>
    <x v="0"/>
    <n v="5161"/>
  </r>
  <r>
    <n v="406"/>
    <x v="6"/>
    <s v="Female"/>
    <x v="2"/>
    <x v="2"/>
    <x v="2"/>
    <n v="6103"/>
  </r>
  <r>
    <n v="407"/>
    <x v="15"/>
    <s v="Male"/>
    <x v="3"/>
    <x v="1"/>
    <x v="4"/>
    <n v="6515"/>
  </r>
  <r>
    <n v="408"/>
    <x v="22"/>
    <s v="Female"/>
    <x v="0"/>
    <x v="2"/>
    <x v="2"/>
    <n v="4675"/>
  </r>
  <r>
    <n v="409"/>
    <x v="4"/>
    <s v="Male"/>
    <x v="0"/>
    <x v="2"/>
    <x v="6"/>
    <n v="5646"/>
  </r>
  <r>
    <n v="410"/>
    <x v="10"/>
    <s v="Female"/>
    <x v="3"/>
    <x v="1"/>
    <x v="0"/>
    <n v="5646"/>
  </r>
  <r>
    <n v="411"/>
    <x v="0"/>
    <s v="Female"/>
    <x v="0"/>
    <x v="2"/>
    <x v="4"/>
    <n v="21255"/>
  </r>
  <r>
    <n v="412"/>
    <x v="1"/>
    <s v="Male"/>
    <x v="4"/>
    <x v="2"/>
    <x v="4"/>
    <n v="11486"/>
  </r>
  <r>
    <n v="413"/>
    <x v="37"/>
    <s v="Male"/>
    <x v="1"/>
    <x v="1"/>
    <x v="5"/>
    <n v="5783"/>
  </r>
  <r>
    <n v="414"/>
    <x v="37"/>
    <s v="Male"/>
    <x v="4"/>
    <x v="0"/>
    <x v="6"/>
    <n v="19850"/>
  </r>
  <r>
    <n v="415"/>
    <x v="20"/>
    <s v="Male"/>
    <x v="1"/>
    <x v="1"/>
    <x v="1"/>
    <n v="5008"/>
  </r>
  <r>
    <n v="416"/>
    <x v="31"/>
    <s v="Male"/>
    <x v="3"/>
    <x v="1"/>
    <x v="2"/>
    <n v="1612"/>
  </r>
  <r>
    <n v="417"/>
    <x v="24"/>
    <s v="Male"/>
    <x v="3"/>
    <x v="2"/>
    <x v="3"/>
    <n v="2554"/>
  </r>
  <r>
    <n v="418"/>
    <x v="1"/>
    <s v="Male"/>
    <x v="1"/>
    <x v="2"/>
    <x v="0"/>
    <n v="3808"/>
  </r>
  <r>
    <n v="419"/>
    <x v="37"/>
    <s v="Male"/>
    <x v="3"/>
    <x v="3"/>
    <x v="1"/>
    <n v="5874"/>
  </r>
  <r>
    <n v="420"/>
    <x v="3"/>
    <s v="Male"/>
    <x v="0"/>
    <x v="3"/>
    <x v="0"/>
    <n v="3692"/>
  </r>
  <r>
    <n v="421"/>
    <x v="28"/>
    <s v="Male"/>
    <x v="0"/>
    <x v="3"/>
    <x v="6"/>
    <n v="15285"/>
  </r>
  <r>
    <n v="422"/>
    <x v="28"/>
    <s v="Female"/>
    <x v="2"/>
    <x v="1"/>
    <x v="3"/>
    <n v="7364"/>
  </r>
  <r>
    <n v="423"/>
    <x v="17"/>
    <s v="Female"/>
    <x v="3"/>
    <x v="0"/>
    <x v="4"/>
    <n v="13637"/>
  </r>
  <r>
    <n v="424"/>
    <x v="17"/>
    <s v="Female"/>
    <x v="3"/>
    <x v="0"/>
    <x v="1"/>
    <n v="1165"/>
  </r>
  <r>
    <n v="425"/>
    <x v="4"/>
    <s v="Male"/>
    <x v="0"/>
    <x v="2"/>
    <x v="3"/>
    <n v="1301"/>
  </r>
  <r>
    <n v="426"/>
    <x v="30"/>
    <s v="Male"/>
    <x v="3"/>
    <x v="3"/>
    <x v="0"/>
    <n v="2435"/>
  </r>
  <r>
    <n v="427"/>
    <x v="21"/>
    <s v="Male"/>
    <x v="4"/>
    <x v="2"/>
    <x v="6"/>
    <n v="9605"/>
  </r>
  <r>
    <n v="428"/>
    <x v="4"/>
    <s v="Female"/>
    <x v="0"/>
    <x v="0"/>
    <x v="1"/>
    <n v="6659"/>
  </r>
  <r>
    <n v="429"/>
    <x v="23"/>
    <s v="Male"/>
    <x v="1"/>
    <x v="3"/>
    <x v="5"/>
    <n v="7901"/>
  </r>
  <r>
    <n v="430"/>
    <x v="13"/>
    <s v="Female"/>
    <x v="3"/>
    <x v="2"/>
    <x v="0"/>
    <n v="2916"/>
  </r>
  <r>
    <n v="431"/>
    <x v="33"/>
    <s v="Female"/>
    <x v="4"/>
    <x v="2"/>
    <x v="3"/>
    <n v="6203"/>
  </r>
  <r>
    <n v="432"/>
    <x v="2"/>
    <s v="Male"/>
    <x v="3"/>
    <x v="1"/>
    <x v="0"/>
    <n v="3320"/>
  </r>
  <r>
    <n v="433"/>
    <x v="30"/>
    <s v="Female"/>
    <x v="4"/>
    <x v="0"/>
    <x v="0"/>
    <n v="5480"/>
  </r>
  <r>
    <n v="434"/>
    <x v="37"/>
    <s v="Female"/>
    <x v="3"/>
    <x v="1"/>
    <x v="6"/>
    <n v="5531"/>
  </r>
  <r>
    <n v="435"/>
    <x v="41"/>
    <s v="Male"/>
    <x v="2"/>
    <x v="1"/>
    <x v="2"/>
    <n v="5041"/>
  </r>
  <r>
    <n v="436"/>
    <x v="16"/>
    <s v="Female"/>
    <x v="1"/>
    <x v="3"/>
    <x v="5"/>
    <n v="11938"/>
  </r>
  <r>
    <n v="437"/>
    <x v="37"/>
    <s v="Male"/>
    <x v="3"/>
    <x v="3"/>
    <x v="3"/>
    <n v="4538"/>
  </r>
  <r>
    <n v="438"/>
    <x v="28"/>
    <s v="Male"/>
    <x v="0"/>
    <x v="0"/>
    <x v="1"/>
    <n v="3410"/>
  </r>
  <r>
    <n v="439"/>
    <x v="3"/>
    <s v="Female"/>
    <x v="0"/>
    <x v="0"/>
    <x v="3"/>
    <n v="7523"/>
  </r>
  <r>
    <n v="440"/>
    <x v="13"/>
    <s v="Female"/>
    <x v="3"/>
    <x v="2"/>
    <x v="1"/>
    <n v="1097"/>
  </r>
  <r>
    <n v="441"/>
    <x v="0"/>
    <s v="Male"/>
    <x v="0"/>
    <x v="0"/>
    <x v="4"/>
    <n v="14782"/>
  </r>
  <r>
    <n v="442"/>
    <x v="32"/>
    <s v="Male"/>
    <x v="3"/>
    <x v="2"/>
    <x v="2"/>
    <n v="13048"/>
  </r>
  <r>
    <n v="443"/>
    <x v="31"/>
    <s v="Male"/>
    <x v="3"/>
    <x v="2"/>
    <x v="2"/>
    <n v="7777"/>
  </r>
  <r>
    <n v="444"/>
    <x v="13"/>
    <s v="Female"/>
    <x v="3"/>
    <x v="3"/>
    <x v="1"/>
    <n v="1607"/>
  </r>
  <r>
    <n v="445"/>
    <x v="27"/>
    <s v="Male"/>
    <x v="0"/>
    <x v="1"/>
    <x v="4"/>
    <n v="14780"/>
  </r>
  <r>
    <n v="446"/>
    <x v="17"/>
    <s v="Male"/>
    <x v="4"/>
    <x v="1"/>
    <x v="1"/>
    <n v="1150"/>
  </r>
  <r>
    <n v="447"/>
    <x v="6"/>
    <s v="Male"/>
    <x v="3"/>
    <x v="1"/>
    <x v="1"/>
    <n v="5742"/>
  </r>
  <r>
    <n v="448"/>
    <x v="2"/>
    <s v="Female"/>
    <x v="0"/>
    <x v="1"/>
    <x v="0"/>
    <n v="2163"/>
  </r>
  <r>
    <n v="449"/>
    <x v="19"/>
    <s v="Male"/>
    <x v="3"/>
    <x v="3"/>
    <x v="0"/>
    <n v="8811"/>
  </r>
  <r>
    <n v="450"/>
    <x v="41"/>
    <s v="Male"/>
    <x v="2"/>
    <x v="3"/>
    <x v="0"/>
    <n v="7864"/>
  </r>
  <r>
    <n v="451"/>
    <x v="20"/>
    <s v="Male"/>
    <x v="2"/>
    <x v="3"/>
    <x v="0"/>
    <n v="5594"/>
  </r>
  <r>
    <n v="452"/>
    <x v="27"/>
    <s v="Female"/>
    <x v="0"/>
    <x v="0"/>
    <x v="4"/>
    <n v="21294"/>
  </r>
  <r>
    <n v="453"/>
    <x v="28"/>
    <s v="Female"/>
    <x v="0"/>
    <x v="2"/>
    <x v="0"/>
    <n v="5284"/>
  </r>
  <r>
    <n v="454"/>
    <x v="28"/>
    <s v="Female"/>
    <x v="0"/>
    <x v="1"/>
    <x v="1"/>
    <n v="3438"/>
  </r>
  <r>
    <n v="455"/>
    <x v="31"/>
    <s v="Male"/>
    <x v="3"/>
    <x v="0"/>
    <x v="6"/>
    <n v="17234"/>
  </r>
  <r>
    <n v="456"/>
    <x v="32"/>
    <s v="Female"/>
    <x v="3"/>
    <x v="2"/>
    <x v="0"/>
    <n v="1857"/>
  </r>
  <r>
    <n v="457"/>
    <x v="16"/>
    <s v="Female"/>
    <x v="3"/>
    <x v="2"/>
    <x v="0"/>
    <n v="3351"/>
  </r>
  <r>
    <n v="458"/>
    <x v="0"/>
    <s v="Male"/>
    <x v="0"/>
    <x v="3"/>
    <x v="4"/>
    <n v="24273"/>
  </r>
  <r>
    <n v="459"/>
    <x v="34"/>
    <s v="Male"/>
    <x v="0"/>
    <x v="2"/>
    <x v="6"/>
    <n v="7640"/>
  </r>
  <r>
    <n v="460"/>
    <x v="33"/>
    <s v="Female"/>
    <x v="3"/>
    <x v="3"/>
    <x v="0"/>
    <n v="6852"/>
  </r>
  <r>
    <n v="461"/>
    <x v="13"/>
    <s v="Female"/>
    <x v="1"/>
    <x v="3"/>
    <x v="0"/>
    <n v="7639"/>
  </r>
  <r>
    <n v="462"/>
    <x v="14"/>
    <s v="Female"/>
    <x v="3"/>
    <x v="2"/>
    <x v="3"/>
    <n v="4895"/>
  </r>
  <r>
    <n v="463"/>
    <x v="12"/>
    <s v="Male"/>
    <x v="4"/>
    <x v="0"/>
    <x v="0"/>
    <n v="8121"/>
  </r>
  <r>
    <n v="464"/>
    <x v="25"/>
    <s v="Male"/>
    <x v="3"/>
    <x v="0"/>
    <x v="3"/>
    <n v="5052"/>
  </r>
  <r>
    <n v="465"/>
    <x v="13"/>
    <s v="Male"/>
    <x v="3"/>
    <x v="0"/>
    <x v="1"/>
    <n v="6543"/>
  </r>
  <r>
    <n v="466"/>
    <x v="14"/>
    <s v="Male"/>
    <x v="2"/>
    <x v="3"/>
    <x v="3"/>
    <n v="2824"/>
  </r>
  <r>
    <n v="467"/>
    <x v="28"/>
    <s v="Male"/>
    <x v="0"/>
    <x v="2"/>
    <x v="3"/>
    <n v="4518"/>
  </r>
  <r>
    <n v="468"/>
    <x v="10"/>
    <s v="Male"/>
    <x v="3"/>
    <x v="1"/>
    <x v="1"/>
    <n v="908"/>
  </r>
  <r>
    <n v="469"/>
    <x v="2"/>
    <s v="Female"/>
    <x v="0"/>
    <x v="3"/>
    <x v="3"/>
    <n v="6204"/>
  </r>
  <r>
    <n v="470"/>
    <x v="12"/>
    <s v="Male"/>
    <x v="3"/>
    <x v="3"/>
    <x v="3"/>
    <n v="4300"/>
  </r>
  <r>
    <n v="471"/>
    <x v="2"/>
    <s v="Male"/>
    <x v="4"/>
    <x v="1"/>
    <x v="6"/>
    <n v="13125"/>
  </r>
  <r>
    <n v="472"/>
    <x v="40"/>
    <s v="Male"/>
    <x v="4"/>
    <x v="3"/>
    <x v="4"/>
    <n v="21970"/>
  </r>
  <r>
    <n v="473"/>
    <x v="16"/>
    <s v="Male"/>
    <x v="3"/>
    <x v="0"/>
    <x v="1"/>
    <n v="6881"/>
  </r>
  <r>
    <n v="474"/>
    <x v="14"/>
    <s v="Male"/>
    <x v="3"/>
    <x v="0"/>
    <x v="1"/>
    <n v="5848"/>
  </r>
  <r>
    <n v="475"/>
    <x v="13"/>
    <s v="Male"/>
    <x v="3"/>
    <x v="3"/>
    <x v="0"/>
    <n v="5562"/>
  </r>
  <r>
    <n v="476"/>
    <x v="16"/>
    <s v="Male"/>
    <x v="3"/>
    <x v="0"/>
    <x v="0"/>
    <n v="8081"/>
  </r>
  <r>
    <n v="477"/>
    <x v="28"/>
    <s v="Male"/>
    <x v="3"/>
    <x v="1"/>
    <x v="2"/>
    <n v="11884"/>
  </r>
  <r>
    <n v="478"/>
    <x v="3"/>
    <s v="Female"/>
    <x v="0"/>
    <x v="0"/>
    <x v="0"/>
    <n v="4261"/>
  </r>
  <r>
    <n v="479"/>
    <x v="5"/>
    <s v="Male"/>
    <x v="3"/>
    <x v="1"/>
    <x v="1"/>
    <n v="6284"/>
  </r>
  <r>
    <n v="480"/>
    <x v="5"/>
    <s v="Male"/>
    <x v="4"/>
    <x v="2"/>
    <x v="3"/>
    <n v="6813"/>
  </r>
  <r>
    <n v="481"/>
    <x v="22"/>
    <s v="Male"/>
    <x v="0"/>
    <x v="1"/>
    <x v="5"/>
    <n v="6731"/>
  </r>
  <r>
    <n v="482"/>
    <x v="27"/>
    <s v="Male"/>
    <x v="0"/>
    <x v="2"/>
    <x v="0"/>
    <n v="1699"/>
  </r>
  <r>
    <n v="483"/>
    <x v="41"/>
    <s v="Female"/>
    <x v="2"/>
    <x v="2"/>
    <x v="1"/>
    <n v="5379"/>
  </r>
  <r>
    <n v="484"/>
    <x v="2"/>
    <s v="Male"/>
    <x v="0"/>
    <x v="2"/>
    <x v="4"/>
    <n v="16747"/>
  </r>
  <r>
    <n v="485"/>
    <x v="28"/>
    <s v="Female"/>
    <x v="0"/>
    <x v="2"/>
    <x v="0"/>
    <n v="2354"/>
  </r>
  <r>
    <n v="486"/>
    <x v="32"/>
    <s v="Male"/>
    <x v="3"/>
    <x v="1"/>
    <x v="2"/>
    <n v="5796"/>
  </r>
  <r>
    <n v="487"/>
    <x v="0"/>
    <s v="Male"/>
    <x v="0"/>
    <x v="1"/>
    <x v="3"/>
    <n v="4044"/>
  </r>
  <r>
    <n v="488"/>
    <x v="17"/>
    <s v="Male"/>
    <x v="1"/>
    <x v="1"/>
    <x v="1"/>
    <n v="907"/>
  </r>
  <r>
    <n v="489"/>
    <x v="3"/>
    <s v="Female"/>
    <x v="0"/>
    <x v="1"/>
    <x v="4"/>
    <n v="24745"/>
  </r>
  <r>
    <n v="490"/>
    <x v="28"/>
    <s v="Female"/>
    <x v="0"/>
    <x v="1"/>
    <x v="0"/>
    <n v="4403"/>
  </r>
  <r>
    <n v="491"/>
    <x v="2"/>
    <s v="Female"/>
    <x v="3"/>
    <x v="0"/>
    <x v="2"/>
    <n v="11045"/>
  </r>
  <r>
    <n v="492"/>
    <x v="39"/>
    <s v="Male"/>
    <x v="2"/>
    <x v="3"/>
    <x v="1"/>
    <n v="1817"/>
  </r>
  <r>
    <n v="493"/>
    <x v="40"/>
    <s v="Female"/>
    <x v="4"/>
    <x v="2"/>
    <x v="0"/>
    <n v="3781"/>
  </r>
  <r>
    <n v="494"/>
    <x v="1"/>
    <s v="Female"/>
    <x v="3"/>
    <x v="1"/>
    <x v="1"/>
    <n v="2305"/>
  </r>
  <r>
    <n v="495"/>
    <x v="26"/>
    <s v="Female"/>
    <x v="1"/>
    <x v="2"/>
    <x v="0"/>
    <n v="3448"/>
  </r>
  <r>
    <n v="496"/>
    <x v="32"/>
    <s v="Female"/>
    <x v="2"/>
    <x v="1"/>
    <x v="6"/>
    <n v="5771"/>
  </r>
  <r>
    <n v="497"/>
    <x v="12"/>
    <s v="Female"/>
    <x v="3"/>
    <x v="3"/>
    <x v="3"/>
    <n v="5962"/>
  </r>
  <r>
    <n v="498"/>
    <x v="28"/>
    <s v="Male"/>
    <x v="0"/>
    <x v="0"/>
    <x v="4"/>
    <n v="19586"/>
  </r>
  <r>
    <n v="499"/>
    <x v="38"/>
    <s v="Female"/>
    <x v="3"/>
    <x v="1"/>
    <x v="0"/>
    <n v="7603"/>
  </r>
  <r>
    <n v="500"/>
    <x v="24"/>
    <s v="Female"/>
    <x v="3"/>
    <x v="2"/>
    <x v="2"/>
    <n v="90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n v="23"/>
    <x v="0"/>
    <x v="0"/>
    <x v="0"/>
    <x v="0"/>
    <n v="8882"/>
    <x v="0"/>
  </r>
  <r>
    <n v="2"/>
    <n v="49"/>
    <x v="0"/>
    <x v="1"/>
    <x v="0"/>
    <x v="1"/>
    <n v="2107"/>
    <x v="1"/>
  </r>
  <r>
    <n v="3"/>
    <n v="23"/>
    <x v="1"/>
    <x v="0"/>
    <x v="1"/>
    <x v="0"/>
    <n v="5073"/>
    <x v="0"/>
  </r>
  <r>
    <n v="4"/>
    <n v="49"/>
    <x v="1"/>
    <x v="2"/>
    <x v="2"/>
    <x v="2"/>
    <n v="8345"/>
    <x v="1"/>
  </r>
  <r>
    <n v="5"/>
    <n v="18"/>
    <x v="1"/>
    <x v="0"/>
    <x v="1"/>
    <x v="0"/>
    <n v="8926"/>
    <x v="0"/>
  </r>
  <r>
    <n v="6"/>
    <n v="24"/>
    <x v="0"/>
    <x v="0"/>
    <x v="0"/>
    <x v="3"/>
    <n v="801"/>
    <x v="0"/>
  </r>
  <r>
    <n v="7"/>
    <n v="46"/>
    <x v="0"/>
    <x v="2"/>
    <x v="1"/>
    <x v="4"/>
    <n v="23930"/>
    <x v="1"/>
  </r>
  <r>
    <n v="8"/>
    <n v="42"/>
    <x v="1"/>
    <x v="3"/>
    <x v="3"/>
    <x v="1"/>
    <n v="6093"/>
    <x v="2"/>
  </r>
  <r>
    <n v="9"/>
    <n v="53"/>
    <x v="0"/>
    <x v="3"/>
    <x v="0"/>
    <x v="3"/>
    <n v="7441"/>
    <x v="1"/>
  </r>
  <r>
    <n v="10"/>
    <n v="36"/>
    <x v="1"/>
    <x v="2"/>
    <x v="3"/>
    <x v="3"/>
    <n v="1893"/>
    <x v="2"/>
  </r>
  <r>
    <n v="11"/>
    <n v="47"/>
    <x v="1"/>
    <x v="3"/>
    <x v="3"/>
    <x v="2"/>
    <n v="13758"/>
    <x v="1"/>
  </r>
  <r>
    <n v="12"/>
    <n v="34"/>
    <x v="1"/>
    <x v="3"/>
    <x v="0"/>
    <x v="0"/>
    <n v="4382"/>
    <x v="3"/>
  </r>
  <r>
    <n v="13"/>
    <n v="50"/>
    <x v="1"/>
    <x v="1"/>
    <x v="0"/>
    <x v="1"/>
    <n v="5960"/>
    <x v="1"/>
  </r>
  <r>
    <n v="14"/>
    <n v="38"/>
    <x v="0"/>
    <x v="4"/>
    <x v="1"/>
    <x v="0"/>
    <n v="5894"/>
    <x v="2"/>
  </r>
  <r>
    <n v="15"/>
    <n v="51"/>
    <x v="1"/>
    <x v="3"/>
    <x v="2"/>
    <x v="0"/>
    <n v="3082"/>
    <x v="1"/>
  </r>
  <r>
    <n v="16"/>
    <n v="23"/>
    <x v="0"/>
    <x v="0"/>
    <x v="3"/>
    <x v="5"/>
    <n v="1005"/>
    <x v="0"/>
  </r>
  <r>
    <n v="17"/>
    <n v="19"/>
    <x v="0"/>
    <x v="0"/>
    <x v="2"/>
    <x v="0"/>
    <n v="8852"/>
    <x v="0"/>
  </r>
  <r>
    <n v="18"/>
    <n v="24"/>
    <x v="1"/>
    <x v="0"/>
    <x v="3"/>
    <x v="0"/>
    <n v="4141"/>
    <x v="0"/>
  </r>
  <r>
    <n v="19"/>
    <n v="52"/>
    <x v="1"/>
    <x v="3"/>
    <x v="0"/>
    <x v="6"/>
    <n v="2779"/>
    <x v="1"/>
  </r>
  <r>
    <n v="20"/>
    <n v="26"/>
    <x v="0"/>
    <x v="4"/>
    <x v="2"/>
    <x v="5"/>
    <n v="3359"/>
    <x v="3"/>
  </r>
  <r>
    <n v="21"/>
    <n v="37"/>
    <x v="1"/>
    <x v="3"/>
    <x v="2"/>
    <x v="1"/>
    <n v="3972"/>
    <x v="2"/>
  </r>
  <r>
    <n v="22"/>
    <n v="31"/>
    <x v="0"/>
    <x v="3"/>
    <x v="3"/>
    <x v="2"/>
    <n v="9764"/>
    <x v="3"/>
  </r>
  <r>
    <n v="23"/>
    <n v="58"/>
    <x v="1"/>
    <x v="1"/>
    <x v="1"/>
    <x v="1"/>
    <n v="3964"/>
    <x v="1"/>
  </r>
  <r>
    <n v="24"/>
    <n v="30"/>
    <x v="0"/>
    <x v="3"/>
    <x v="2"/>
    <x v="2"/>
    <n v="13098"/>
    <x v="3"/>
  </r>
  <r>
    <n v="25"/>
    <n v="43"/>
    <x v="0"/>
    <x v="4"/>
    <x v="0"/>
    <x v="6"/>
    <n v="2925"/>
    <x v="2"/>
  </r>
  <r>
    <n v="26"/>
    <n v="23"/>
    <x v="1"/>
    <x v="0"/>
    <x v="0"/>
    <x v="3"/>
    <n v="4968"/>
    <x v="0"/>
  </r>
  <r>
    <n v="27"/>
    <n v="28"/>
    <x v="0"/>
    <x v="4"/>
    <x v="2"/>
    <x v="2"/>
    <n v="9295"/>
    <x v="3"/>
  </r>
  <r>
    <n v="28"/>
    <n v="23"/>
    <x v="0"/>
    <x v="0"/>
    <x v="3"/>
    <x v="0"/>
    <n v="5600"/>
    <x v="0"/>
  </r>
  <r>
    <n v="29"/>
    <n v="21"/>
    <x v="1"/>
    <x v="0"/>
    <x v="2"/>
    <x v="0"/>
    <n v="6125"/>
    <x v="0"/>
  </r>
  <r>
    <n v="30"/>
    <n v="23"/>
    <x v="1"/>
    <x v="0"/>
    <x v="0"/>
    <x v="3"/>
    <n v="1593"/>
    <x v="0"/>
  </r>
  <r>
    <n v="31"/>
    <n v="59"/>
    <x v="1"/>
    <x v="1"/>
    <x v="3"/>
    <x v="6"/>
    <n v="15053"/>
    <x v="1"/>
  </r>
  <r>
    <n v="32"/>
    <n v="41"/>
    <x v="0"/>
    <x v="2"/>
    <x v="0"/>
    <x v="2"/>
    <n v="4672"/>
    <x v="2"/>
  </r>
  <r>
    <n v="33"/>
    <n v="33"/>
    <x v="1"/>
    <x v="2"/>
    <x v="3"/>
    <x v="2"/>
    <n v="10578"/>
    <x v="3"/>
  </r>
  <r>
    <n v="34"/>
    <n v="18"/>
    <x v="0"/>
    <x v="0"/>
    <x v="3"/>
    <x v="6"/>
    <n v="15787"/>
    <x v="0"/>
  </r>
  <r>
    <n v="35"/>
    <n v="35"/>
    <x v="0"/>
    <x v="3"/>
    <x v="0"/>
    <x v="1"/>
    <n v="2376"/>
    <x v="3"/>
  </r>
  <r>
    <n v="36"/>
    <n v="36"/>
    <x v="0"/>
    <x v="2"/>
    <x v="2"/>
    <x v="4"/>
    <n v="15298"/>
    <x v="2"/>
  </r>
  <r>
    <n v="37"/>
    <n v="33"/>
    <x v="0"/>
    <x v="3"/>
    <x v="0"/>
    <x v="0"/>
    <n v="3924"/>
    <x v="3"/>
  </r>
  <r>
    <n v="38"/>
    <n v="22"/>
    <x v="0"/>
    <x v="0"/>
    <x v="2"/>
    <x v="4"/>
    <n v="4690"/>
    <x v="0"/>
  </r>
  <r>
    <n v="39"/>
    <n v="41"/>
    <x v="1"/>
    <x v="3"/>
    <x v="3"/>
    <x v="3"/>
    <n v="6286"/>
    <x v="2"/>
  </r>
  <r>
    <n v="40"/>
    <n v="50"/>
    <x v="0"/>
    <x v="3"/>
    <x v="3"/>
    <x v="3"/>
    <n v="3318"/>
    <x v="1"/>
  </r>
  <r>
    <n v="41"/>
    <n v="25"/>
    <x v="0"/>
    <x v="0"/>
    <x v="0"/>
    <x v="1"/>
    <n v="2292"/>
    <x v="0"/>
  </r>
  <r>
    <n v="42"/>
    <n v="24"/>
    <x v="0"/>
    <x v="0"/>
    <x v="1"/>
    <x v="3"/>
    <n v="850"/>
    <x v="0"/>
  </r>
  <r>
    <n v="43"/>
    <n v="31"/>
    <x v="0"/>
    <x v="3"/>
    <x v="0"/>
    <x v="1"/>
    <n v="2609"/>
    <x v="3"/>
  </r>
  <r>
    <n v="44"/>
    <n v="24"/>
    <x v="0"/>
    <x v="3"/>
    <x v="0"/>
    <x v="4"/>
    <n v="3456"/>
    <x v="0"/>
  </r>
  <r>
    <n v="45"/>
    <n v="46"/>
    <x v="1"/>
    <x v="3"/>
    <x v="2"/>
    <x v="1"/>
    <n v="3135"/>
    <x v="1"/>
  </r>
  <r>
    <n v="46"/>
    <n v="24"/>
    <x v="0"/>
    <x v="0"/>
    <x v="3"/>
    <x v="0"/>
    <n v="1606"/>
    <x v="0"/>
  </r>
  <r>
    <n v="47"/>
    <n v="32"/>
    <x v="1"/>
    <x v="3"/>
    <x v="2"/>
    <x v="2"/>
    <n v="3718"/>
    <x v="3"/>
  </r>
  <r>
    <n v="48"/>
    <n v="58"/>
    <x v="1"/>
    <x v="2"/>
    <x v="0"/>
    <x v="6"/>
    <n v="17315"/>
    <x v="1"/>
  </r>
  <r>
    <n v="49"/>
    <n v="19"/>
    <x v="1"/>
    <x v="0"/>
    <x v="3"/>
    <x v="5"/>
    <n v="10132"/>
    <x v="0"/>
  </r>
  <r>
    <n v="50"/>
    <n v="34"/>
    <x v="1"/>
    <x v="3"/>
    <x v="3"/>
    <x v="6"/>
    <n v="16698"/>
    <x v="3"/>
  </r>
  <r>
    <n v="51"/>
    <n v="24"/>
    <x v="0"/>
    <x v="0"/>
    <x v="0"/>
    <x v="0"/>
    <n v="2602"/>
    <x v="0"/>
  </r>
  <r>
    <n v="52"/>
    <n v="21"/>
    <x v="1"/>
    <x v="0"/>
    <x v="2"/>
    <x v="0"/>
    <n v="3205"/>
    <x v="0"/>
  </r>
  <r>
    <n v="53"/>
    <n v="18"/>
    <x v="1"/>
    <x v="0"/>
    <x v="3"/>
    <x v="4"/>
    <n v="20921"/>
    <x v="0"/>
  </r>
  <r>
    <n v="54"/>
    <n v="21"/>
    <x v="0"/>
    <x v="0"/>
    <x v="0"/>
    <x v="4"/>
    <n v="12967"/>
    <x v="0"/>
  </r>
  <r>
    <n v="55"/>
    <n v="23"/>
    <x v="1"/>
    <x v="0"/>
    <x v="2"/>
    <x v="4"/>
    <n v="8009"/>
    <x v="0"/>
  </r>
  <r>
    <n v="56"/>
    <n v="48"/>
    <x v="1"/>
    <x v="3"/>
    <x v="3"/>
    <x v="2"/>
    <n v="4095"/>
    <x v="1"/>
  </r>
  <r>
    <n v="57"/>
    <n v="53"/>
    <x v="1"/>
    <x v="3"/>
    <x v="0"/>
    <x v="0"/>
    <n v="7490"/>
    <x v="1"/>
  </r>
  <r>
    <n v="58"/>
    <n v="24"/>
    <x v="1"/>
    <x v="4"/>
    <x v="2"/>
    <x v="6"/>
    <n v="13563"/>
    <x v="0"/>
  </r>
  <r>
    <n v="59"/>
    <n v="23"/>
    <x v="0"/>
    <x v="3"/>
    <x v="0"/>
    <x v="2"/>
    <n v="4495"/>
    <x v="0"/>
  </r>
  <r>
    <n v="60"/>
    <n v="25"/>
    <x v="1"/>
    <x v="3"/>
    <x v="2"/>
    <x v="3"/>
    <n v="3161"/>
    <x v="0"/>
  </r>
  <r>
    <n v="61"/>
    <n v="45"/>
    <x v="1"/>
    <x v="4"/>
    <x v="3"/>
    <x v="0"/>
    <n v="2533"/>
    <x v="2"/>
  </r>
  <r>
    <n v="62"/>
    <n v="33"/>
    <x v="1"/>
    <x v="1"/>
    <x v="1"/>
    <x v="4"/>
    <n v="5828"/>
    <x v="3"/>
  </r>
  <r>
    <n v="63"/>
    <n v="28"/>
    <x v="1"/>
    <x v="3"/>
    <x v="1"/>
    <x v="6"/>
    <n v="8580"/>
    <x v="3"/>
  </r>
  <r>
    <n v="64"/>
    <n v="22"/>
    <x v="1"/>
    <x v="4"/>
    <x v="1"/>
    <x v="0"/>
    <n v="7199"/>
    <x v="0"/>
  </r>
  <r>
    <n v="65"/>
    <n v="18"/>
    <x v="0"/>
    <x v="0"/>
    <x v="3"/>
    <x v="1"/>
    <n v="2490"/>
    <x v="0"/>
  </r>
  <r>
    <n v="66"/>
    <n v="40"/>
    <x v="0"/>
    <x v="2"/>
    <x v="0"/>
    <x v="3"/>
    <n v="1232"/>
    <x v="2"/>
  </r>
  <r>
    <n v="67"/>
    <n v="30"/>
    <x v="0"/>
    <x v="4"/>
    <x v="3"/>
    <x v="2"/>
    <n v="4750"/>
    <x v="3"/>
  </r>
  <r>
    <n v="68"/>
    <n v="28"/>
    <x v="1"/>
    <x v="2"/>
    <x v="2"/>
    <x v="1"/>
    <n v="3159"/>
    <x v="3"/>
  </r>
  <r>
    <n v="69"/>
    <n v="18"/>
    <x v="0"/>
    <x v="0"/>
    <x v="3"/>
    <x v="1"/>
    <n v="5348"/>
    <x v="0"/>
  </r>
  <r>
    <n v="70"/>
    <n v="30"/>
    <x v="0"/>
    <x v="3"/>
    <x v="2"/>
    <x v="5"/>
    <n v="6732"/>
    <x v="3"/>
  </r>
  <r>
    <n v="71"/>
    <n v="22"/>
    <x v="0"/>
    <x v="3"/>
    <x v="2"/>
    <x v="5"/>
    <n v="2308"/>
    <x v="0"/>
  </r>
  <r>
    <n v="72"/>
    <n v="33"/>
    <x v="0"/>
    <x v="3"/>
    <x v="3"/>
    <x v="1"/>
    <n v="6808"/>
    <x v="3"/>
  </r>
  <r>
    <n v="73"/>
    <n v="34"/>
    <x v="0"/>
    <x v="3"/>
    <x v="2"/>
    <x v="0"/>
    <n v="7417"/>
    <x v="3"/>
  </r>
  <r>
    <n v="74"/>
    <n v="52"/>
    <x v="0"/>
    <x v="3"/>
    <x v="1"/>
    <x v="2"/>
    <n v="5265"/>
    <x v="1"/>
  </r>
  <r>
    <n v="75"/>
    <n v="45"/>
    <x v="1"/>
    <x v="4"/>
    <x v="1"/>
    <x v="6"/>
    <n v="5303"/>
    <x v="2"/>
  </r>
  <r>
    <n v="76"/>
    <n v="19"/>
    <x v="0"/>
    <x v="0"/>
    <x v="2"/>
    <x v="4"/>
    <n v="5411"/>
    <x v="0"/>
  </r>
  <r>
    <n v="77"/>
    <n v="38"/>
    <x v="0"/>
    <x v="3"/>
    <x v="1"/>
    <x v="2"/>
    <n v="2519"/>
    <x v="2"/>
  </r>
  <r>
    <n v="78"/>
    <n v="37"/>
    <x v="1"/>
    <x v="4"/>
    <x v="2"/>
    <x v="1"/>
    <n v="3501"/>
    <x v="2"/>
  </r>
  <r>
    <n v="79"/>
    <n v="41"/>
    <x v="0"/>
    <x v="3"/>
    <x v="1"/>
    <x v="0"/>
    <n v="8371"/>
    <x v="2"/>
  </r>
  <r>
    <n v="80"/>
    <n v="19"/>
    <x v="0"/>
    <x v="0"/>
    <x v="3"/>
    <x v="4"/>
    <n v="14756"/>
    <x v="0"/>
  </r>
  <r>
    <n v="81"/>
    <n v="36"/>
    <x v="1"/>
    <x v="1"/>
    <x v="3"/>
    <x v="0"/>
    <n v="3217"/>
    <x v="2"/>
  </r>
  <r>
    <n v="82"/>
    <n v="18"/>
    <x v="0"/>
    <x v="0"/>
    <x v="1"/>
    <x v="4"/>
    <n v="5747"/>
    <x v="0"/>
  </r>
  <r>
    <n v="83"/>
    <n v="22"/>
    <x v="0"/>
    <x v="0"/>
    <x v="1"/>
    <x v="4"/>
    <n v="15783"/>
    <x v="0"/>
  </r>
  <r>
    <n v="84"/>
    <n v="29"/>
    <x v="1"/>
    <x v="2"/>
    <x v="2"/>
    <x v="5"/>
    <n v="7450"/>
    <x v="3"/>
  </r>
  <r>
    <n v="85"/>
    <n v="25"/>
    <x v="1"/>
    <x v="3"/>
    <x v="0"/>
    <x v="2"/>
    <n v="9968"/>
    <x v="0"/>
  </r>
  <r>
    <n v="86"/>
    <n v="46"/>
    <x v="1"/>
    <x v="2"/>
    <x v="1"/>
    <x v="2"/>
    <n v="4276"/>
    <x v="1"/>
  </r>
  <r>
    <n v="87"/>
    <n v="53"/>
    <x v="1"/>
    <x v="3"/>
    <x v="3"/>
    <x v="0"/>
    <n v="8046"/>
    <x v="1"/>
  </r>
  <r>
    <n v="88"/>
    <n v="34"/>
    <x v="1"/>
    <x v="2"/>
    <x v="2"/>
    <x v="6"/>
    <n v="4055"/>
    <x v="3"/>
  </r>
  <r>
    <n v="89"/>
    <n v="34"/>
    <x v="0"/>
    <x v="3"/>
    <x v="3"/>
    <x v="4"/>
    <n v="14964"/>
    <x v="3"/>
  </r>
  <r>
    <n v="90"/>
    <n v="21"/>
    <x v="1"/>
    <x v="0"/>
    <x v="3"/>
    <x v="0"/>
    <n v="5882"/>
    <x v="0"/>
  </r>
  <r>
    <n v="91"/>
    <n v="26"/>
    <x v="1"/>
    <x v="1"/>
    <x v="2"/>
    <x v="0"/>
    <n v="6774"/>
    <x v="3"/>
  </r>
  <r>
    <n v="92"/>
    <n v="25"/>
    <x v="0"/>
    <x v="3"/>
    <x v="3"/>
    <x v="5"/>
    <n v="6468"/>
    <x v="0"/>
  </r>
  <r>
    <n v="93"/>
    <n v="41"/>
    <x v="0"/>
    <x v="4"/>
    <x v="3"/>
    <x v="3"/>
    <n v="1351"/>
    <x v="2"/>
  </r>
  <r>
    <n v="94"/>
    <n v="21"/>
    <x v="1"/>
    <x v="0"/>
    <x v="1"/>
    <x v="4"/>
    <n v="24670"/>
    <x v="0"/>
  </r>
  <r>
    <n v="95"/>
    <n v="45"/>
    <x v="0"/>
    <x v="3"/>
    <x v="0"/>
    <x v="2"/>
    <n v="14837"/>
    <x v="2"/>
  </r>
  <r>
    <n v="96"/>
    <n v="19"/>
    <x v="1"/>
    <x v="0"/>
    <x v="1"/>
    <x v="3"/>
    <n v="5389"/>
    <x v="0"/>
  </r>
  <r>
    <n v="97"/>
    <n v="31"/>
    <x v="0"/>
    <x v="1"/>
    <x v="1"/>
    <x v="5"/>
    <n v="10031"/>
    <x v="3"/>
  </r>
  <r>
    <n v="98"/>
    <n v="45"/>
    <x v="0"/>
    <x v="3"/>
    <x v="3"/>
    <x v="2"/>
    <n v="13126"/>
    <x v="2"/>
  </r>
  <r>
    <n v="99"/>
    <n v="43"/>
    <x v="1"/>
    <x v="3"/>
    <x v="1"/>
    <x v="0"/>
    <n v="1929"/>
    <x v="2"/>
  </r>
  <r>
    <n v="100"/>
    <n v="53"/>
    <x v="0"/>
    <x v="3"/>
    <x v="3"/>
    <x v="4"/>
    <n v="6431"/>
    <x v="1"/>
  </r>
  <r>
    <n v="101"/>
    <n v="29"/>
    <x v="1"/>
    <x v="1"/>
    <x v="3"/>
    <x v="1"/>
    <n v="4949"/>
    <x v="3"/>
  </r>
  <r>
    <n v="102"/>
    <n v="24"/>
    <x v="0"/>
    <x v="4"/>
    <x v="1"/>
    <x v="1"/>
    <n v="5102"/>
    <x v="0"/>
  </r>
  <r>
    <n v="103"/>
    <n v="42"/>
    <x v="0"/>
    <x v="3"/>
    <x v="0"/>
    <x v="2"/>
    <n v="8878"/>
    <x v="2"/>
  </r>
  <r>
    <n v="104"/>
    <n v="19"/>
    <x v="1"/>
    <x v="0"/>
    <x v="1"/>
    <x v="6"/>
    <n v="3327"/>
    <x v="0"/>
  </r>
  <r>
    <n v="105"/>
    <n v="20"/>
    <x v="0"/>
    <x v="0"/>
    <x v="1"/>
    <x v="4"/>
    <n v="11160"/>
    <x v="0"/>
  </r>
  <r>
    <n v="106"/>
    <n v="33"/>
    <x v="0"/>
    <x v="3"/>
    <x v="2"/>
    <x v="6"/>
    <n v="11066"/>
    <x v="3"/>
  </r>
  <r>
    <n v="107"/>
    <n v="54"/>
    <x v="0"/>
    <x v="3"/>
    <x v="1"/>
    <x v="0"/>
    <n v="7615"/>
    <x v="1"/>
  </r>
  <r>
    <n v="108"/>
    <n v="55"/>
    <x v="0"/>
    <x v="2"/>
    <x v="0"/>
    <x v="0"/>
    <n v="5017"/>
    <x v="1"/>
  </r>
  <r>
    <n v="109"/>
    <n v="30"/>
    <x v="0"/>
    <x v="1"/>
    <x v="3"/>
    <x v="6"/>
    <n v="5658"/>
    <x v="3"/>
  </r>
  <r>
    <n v="110"/>
    <n v="23"/>
    <x v="0"/>
    <x v="0"/>
    <x v="0"/>
    <x v="4"/>
    <n v="20964"/>
    <x v="0"/>
  </r>
  <r>
    <n v="111"/>
    <n v="50"/>
    <x v="0"/>
    <x v="4"/>
    <x v="0"/>
    <x v="3"/>
    <n v="767"/>
    <x v="1"/>
  </r>
  <r>
    <n v="112"/>
    <n v="25"/>
    <x v="1"/>
    <x v="0"/>
    <x v="3"/>
    <x v="6"/>
    <n v="2466"/>
    <x v="0"/>
  </r>
  <r>
    <n v="113"/>
    <n v="30"/>
    <x v="0"/>
    <x v="3"/>
    <x v="0"/>
    <x v="3"/>
    <n v="6022"/>
    <x v="3"/>
  </r>
  <r>
    <n v="114"/>
    <n v="21"/>
    <x v="1"/>
    <x v="0"/>
    <x v="2"/>
    <x v="3"/>
    <n v="4736"/>
    <x v="0"/>
  </r>
  <r>
    <n v="115"/>
    <n v="25"/>
    <x v="0"/>
    <x v="0"/>
    <x v="3"/>
    <x v="4"/>
    <n v="5100"/>
    <x v="0"/>
  </r>
  <r>
    <n v="116"/>
    <n v="36"/>
    <x v="0"/>
    <x v="2"/>
    <x v="1"/>
    <x v="2"/>
    <n v="7794"/>
    <x v="2"/>
  </r>
  <r>
    <n v="117"/>
    <n v="24"/>
    <x v="0"/>
    <x v="4"/>
    <x v="2"/>
    <x v="6"/>
    <n v="14306"/>
    <x v="0"/>
  </r>
  <r>
    <n v="118"/>
    <n v="22"/>
    <x v="1"/>
    <x v="0"/>
    <x v="2"/>
    <x v="6"/>
    <n v="8226"/>
    <x v="0"/>
  </r>
  <r>
    <n v="119"/>
    <n v="19"/>
    <x v="0"/>
    <x v="0"/>
    <x v="3"/>
    <x v="4"/>
    <n v="17312"/>
    <x v="0"/>
  </r>
  <r>
    <n v="120"/>
    <n v="27"/>
    <x v="0"/>
    <x v="1"/>
    <x v="2"/>
    <x v="0"/>
    <n v="3950"/>
    <x v="3"/>
  </r>
  <r>
    <n v="121"/>
    <n v="50"/>
    <x v="0"/>
    <x v="1"/>
    <x v="0"/>
    <x v="2"/>
    <n v="2033"/>
    <x v="1"/>
  </r>
  <r>
    <n v="122"/>
    <n v="33"/>
    <x v="1"/>
    <x v="3"/>
    <x v="2"/>
    <x v="6"/>
    <n v="18386"/>
    <x v="3"/>
  </r>
  <r>
    <n v="123"/>
    <n v="35"/>
    <x v="0"/>
    <x v="3"/>
    <x v="0"/>
    <x v="4"/>
    <n v="7971"/>
    <x v="3"/>
  </r>
  <r>
    <n v="124"/>
    <n v="52"/>
    <x v="0"/>
    <x v="3"/>
    <x v="1"/>
    <x v="3"/>
    <n v="7591"/>
    <x v="1"/>
  </r>
  <r>
    <n v="125"/>
    <n v="25"/>
    <x v="1"/>
    <x v="0"/>
    <x v="1"/>
    <x v="2"/>
    <n v="12472"/>
    <x v="0"/>
  </r>
  <r>
    <n v="126"/>
    <n v="36"/>
    <x v="0"/>
    <x v="3"/>
    <x v="1"/>
    <x v="0"/>
    <n v="5451"/>
    <x v="2"/>
  </r>
  <r>
    <n v="127"/>
    <n v="55"/>
    <x v="0"/>
    <x v="2"/>
    <x v="3"/>
    <x v="4"/>
    <n v="11836"/>
    <x v="1"/>
  </r>
  <r>
    <n v="128"/>
    <n v="40"/>
    <x v="1"/>
    <x v="3"/>
    <x v="3"/>
    <x v="1"/>
    <n v="1607"/>
    <x v="2"/>
  </r>
  <r>
    <n v="129"/>
    <n v="45"/>
    <x v="0"/>
    <x v="1"/>
    <x v="1"/>
    <x v="0"/>
    <n v="1969"/>
    <x v="2"/>
  </r>
  <r>
    <n v="130"/>
    <n v="24"/>
    <x v="0"/>
    <x v="0"/>
    <x v="0"/>
    <x v="5"/>
    <n v="5760"/>
    <x v="0"/>
  </r>
  <r>
    <n v="131"/>
    <n v="21"/>
    <x v="0"/>
    <x v="0"/>
    <x v="2"/>
    <x v="3"/>
    <n v="4986"/>
    <x v="0"/>
  </r>
  <r>
    <n v="132"/>
    <n v="25"/>
    <x v="1"/>
    <x v="0"/>
    <x v="1"/>
    <x v="2"/>
    <n v="10632"/>
    <x v="0"/>
  </r>
  <r>
    <n v="133"/>
    <n v="22"/>
    <x v="0"/>
    <x v="0"/>
    <x v="1"/>
    <x v="0"/>
    <n v="3697"/>
    <x v="0"/>
  </r>
  <r>
    <n v="134"/>
    <n v="40"/>
    <x v="1"/>
    <x v="4"/>
    <x v="0"/>
    <x v="0"/>
    <n v="6366"/>
    <x v="2"/>
  </r>
  <r>
    <n v="135"/>
    <n v="22"/>
    <x v="1"/>
    <x v="0"/>
    <x v="3"/>
    <x v="0"/>
    <n v="2798"/>
    <x v="0"/>
  </r>
  <r>
    <n v="136"/>
    <n v="35"/>
    <x v="0"/>
    <x v="2"/>
    <x v="2"/>
    <x v="0"/>
    <n v="1838"/>
    <x v="3"/>
  </r>
  <r>
    <n v="137"/>
    <n v="27"/>
    <x v="1"/>
    <x v="3"/>
    <x v="3"/>
    <x v="6"/>
    <n v="5096"/>
    <x v="3"/>
  </r>
  <r>
    <n v="138"/>
    <n v="58"/>
    <x v="1"/>
    <x v="1"/>
    <x v="1"/>
    <x v="5"/>
    <n v="7790"/>
    <x v="1"/>
  </r>
  <r>
    <n v="139"/>
    <n v="40"/>
    <x v="0"/>
    <x v="1"/>
    <x v="1"/>
    <x v="6"/>
    <n v="6189"/>
    <x v="2"/>
  </r>
  <r>
    <n v="140"/>
    <n v="47"/>
    <x v="1"/>
    <x v="3"/>
    <x v="3"/>
    <x v="2"/>
    <n v="8075"/>
    <x v="1"/>
  </r>
  <r>
    <n v="141"/>
    <n v="26"/>
    <x v="1"/>
    <x v="4"/>
    <x v="1"/>
    <x v="2"/>
    <n v="13189"/>
    <x v="3"/>
  </r>
  <r>
    <n v="142"/>
    <n v="35"/>
    <x v="1"/>
    <x v="4"/>
    <x v="1"/>
    <x v="0"/>
    <n v="2881"/>
    <x v="3"/>
  </r>
  <r>
    <n v="143"/>
    <n v="19"/>
    <x v="1"/>
    <x v="0"/>
    <x v="0"/>
    <x v="5"/>
    <n v="1267"/>
    <x v="0"/>
  </r>
  <r>
    <n v="144"/>
    <n v="47"/>
    <x v="1"/>
    <x v="3"/>
    <x v="1"/>
    <x v="1"/>
    <n v="4337"/>
    <x v="1"/>
  </r>
  <r>
    <n v="145"/>
    <n v="29"/>
    <x v="0"/>
    <x v="1"/>
    <x v="0"/>
    <x v="5"/>
    <n v="5358"/>
    <x v="3"/>
  </r>
  <r>
    <n v="146"/>
    <n v="20"/>
    <x v="1"/>
    <x v="0"/>
    <x v="1"/>
    <x v="0"/>
    <n v="7330"/>
    <x v="0"/>
  </r>
  <r>
    <n v="147"/>
    <n v="51"/>
    <x v="0"/>
    <x v="1"/>
    <x v="3"/>
    <x v="0"/>
    <n v="5308"/>
    <x v="1"/>
  </r>
  <r>
    <n v="148"/>
    <n v="26"/>
    <x v="0"/>
    <x v="3"/>
    <x v="0"/>
    <x v="0"/>
    <n v="5193"/>
    <x v="3"/>
  </r>
  <r>
    <n v="149"/>
    <n v="25"/>
    <x v="0"/>
    <x v="4"/>
    <x v="0"/>
    <x v="0"/>
    <n v="8154"/>
    <x v="0"/>
  </r>
  <r>
    <n v="150"/>
    <n v="35"/>
    <x v="0"/>
    <x v="4"/>
    <x v="2"/>
    <x v="3"/>
    <n v="4430"/>
    <x v="3"/>
  </r>
  <r>
    <n v="151"/>
    <n v="48"/>
    <x v="1"/>
    <x v="1"/>
    <x v="1"/>
    <x v="1"/>
    <n v="6552"/>
    <x v="1"/>
  </r>
  <r>
    <n v="152"/>
    <n v="55"/>
    <x v="1"/>
    <x v="3"/>
    <x v="2"/>
    <x v="0"/>
    <n v="7346"/>
    <x v="1"/>
  </r>
  <r>
    <n v="153"/>
    <n v="50"/>
    <x v="0"/>
    <x v="3"/>
    <x v="3"/>
    <x v="0"/>
    <n v="3468"/>
    <x v="1"/>
  </r>
  <r>
    <n v="154"/>
    <n v="23"/>
    <x v="1"/>
    <x v="0"/>
    <x v="3"/>
    <x v="4"/>
    <n v="20970"/>
    <x v="0"/>
  </r>
  <r>
    <n v="155"/>
    <n v="24"/>
    <x v="0"/>
    <x v="0"/>
    <x v="3"/>
    <x v="0"/>
    <n v="6194"/>
    <x v="0"/>
  </r>
  <r>
    <n v="156"/>
    <n v="47"/>
    <x v="0"/>
    <x v="3"/>
    <x v="2"/>
    <x v="4"/>
    <n v="10568"/>
    <x v="1"/>
  </r>
  <r>
    <n v="157"/>
    <n v="39"/>
    <x v="1"/>
    <x v="1"/>
    <x v="1"/>
    <x v="1"/>
    <n v="3617"/>
    <x v="2"/>
  </r>
  <r>
    <n v="158"/>
    <n v="42"/>
    <x v="1"/>
    <x v="3"/>
    <x v="3"/>
    <x v="2"/>
    <n v="11945"/>
    <x v="2"/>
  </r>
  <r>
    <n v="159"/>
    <n v="18"/>
    <x v="0"/>
    <x v="0"/>
    <x v="1"/>
    <x v="4"/>
    <n v="8974"/>
    <x v="0"/>
  </r>
  <r>
    <n v="160"/>
    <n v="32"/>
    <x v="1"/>
    <x v="3"/>
    <x v="1"/>
    <x v="0"/>
    <n v="3765"/>
    <x v="3"/>
  </r>
  <r>
    <n v="161"/>
    <n v="60"/>
    <x v="0"/>
    <x v="2"/>
    <x v="2"/>
    <x v="2"/>
    <n v="7871"/>
    <x v="1"/>
  </r>
  <r>
    <n v="162"/>
    <n v="42"/>
    <x v="1"/>
    <x v="3"/>
    <x v="2"/>
    <x v="2"/>
    <n v="13599"/>
    <x v="2"/>
  </r>
  <r>
    <n v="163"/>
    <n v="41"/>
    <x v="1"/>
    <x v="3"/>
    <x v="0"/>
    <x v="0"/>
    <n v="4919"/>
    <x v="2"/>
  </r>
  <r>
    <n v="164"/>
    <n v="51"/>
    <x v="0"/>
    <x v="3"/>
    <x v="2"/>
    <x v="0"/>
    <n v="2714"/>
    <x v="1"/>
  </r>
  <r>
    <n v="165"/>
    <n v="49"/>
    <x v="1"/>
    <x v="3"/>
    <x v="2"/>
    <x v="3"/>
    <n v="833"/>
    <x v="1"/>
  </r>
  <r>
    <n v="166"/>
    <n v="48"/>
    <x v="1"/>
    <x v="1"/>
    <x v="1"/>
    <x v="0"/>
    <n v="7141"/>
    <x v="1"/>
  </r>
  <r>
    <n v="167"/>
    <n v="29"/>
    <x v="0"/>
    <x v="1"/>
    <x v="3"/>
    <x v="0"/>
    <n v="3070"/>
    <x v="3"/>
  </r>
  <r>
    <n v="168"/>
    <n v="47"/>
    <x v="1"/>
    <x v="3"/>
    <x v="1"/>
    <x v="1"/>
    <n v="1085"/>
    <x v="1"/>
  </r>
  <r>
    <n v="169"/>
    <n v="37"/>
    <x v="1"/>
    <x v="4"/>
    <x v="0"/>
    <x v="2"/>
    <n v="8707"/>
    <x v="2"/>
  </r>
  <r>
    <n v="170"/>
    <n v="47"/>
    <x v="0"/>
    <x v="3"/>
    <x v="1"/>
    <x v="2"/>
    <n v="2261"/>
    <x v="1"/>
  </r>
  <r>
    <n v="171"/>
    <n v="39"/>
    <x v="0"/>
    <x v="1"/>
    <x v="2"/>
    <x v="5"/>
    <n v="1920"/>
    <x v="2"/>
  </r>
  <r>
    <n v="172"/>
    <n v="21"/>
    <x v="0"/>
    <x v="4"/>
    <x v="2"/>
    <x v="3"/>
    <n v="3700"/>
    <x v="0"/>
  </r>
  <r>
    <n v="173"/>
    <n v="46"/>
    <x v="1"/>
    <x v="1"/>
    <x v="1"/>
    <x v="5"/>
    <n v="5966"/>
    <x v="1"/>
  </r>
  <r>
    <n v="174"/>
    <n v="28"/>
    <x v="0"/>
    <x v="4"/>
    <x v="0"/>
    <x v="2"/>
    <n v="6416"/>
    <x v="3"/>
  </r>
  <r>
    <n v="175"/>
    <n v="52"/>
    <x v="0"/>
    <x v="3"/>
    <x v="3"/>
    <x v="2"/>
    <n v="10574"/>
    <x v="1"/>
  </r>
  <r>
    <n v="176"/>
    <n v="51"/>
    <x v="0"/>
    <x v="3"/>
    <x v="2"/>
    <x v="5"/>
    <n v="3363"/>
    <x v="1"/>
  </r>
  <r>
    <n v="177"/>
    <n v="44"/>
    <x v="1"/>
    <x v="4"/>
    <x v="0"/>
    <x v="6"/>
    <n v="18155"/>
    <x v="2"/>
  </r>
  <r>
    <n v="178"/>
    <n v="27"/>
    <x v="0"/>
    <x v="4"/>
    <x v="2"/>
    <x v="2"/>
    <n v="4740"/>
    <x v="3"/>
  </r>
  <r>
    <n v="179"/>
    <n v="20"/>
    <x v="0"/>
    <x v="0"/>
    <x v="1"/>
    <x v="6"/>
    <n v="18834"/>
    <x v="0"/>
  </r>
  <r>
    <n v="180"/>
    <n v="34"/>
    <x v="1"/>
    <x v="3"/>
    <x v="2"/>
    <x v="4"/>
    <n v="23751"/>
    <x v="3"/>
  </r>
  <r>
    <n v="181"/>
    <n v="36"/>
    <x v="1"/>
    <x v="3"/>
    <x v="1"/>
    <x v="0"/>
    <n v="5583"/>
    <x v="2"/>
  </r>
  <r>
    <n v="182"/>
    <n v="35"/>
    <x v="0"/>
    <x v="3"/>
    <x v="3"/>
    <x v="3"/>
    <n v="7948"/>
    <x v="3"/>
  </r>
  <r>
    <n v="183"/>
    <n v="22"/>
    <x v="0"/>
    <x v="0"/>
    <x v="1"/>
    <x v="4"/>
    <n v="16874"/>
    <x v="0"/>
  </r>
  <r>
    <n v="184"/>
    <n v="21"/>
    <x v="0"/>
    <x v="0"/>
    <x v="2"/>
    <x v="0"/>
    <n v="5083"/>
    <x v="0"/>
  </r>
  <r>
    <n v="185"/>
    <n v="45"/>
    <x v="0"/>
    <x v="4"/>
    <x v="2"/>
    <x v="0"/>
    <n v="1650"/>
    <x v="2"/>
  </r>
  <r>
    <n v="186"/>
    <n v="43"/>
    <x v="1"/>
    <x v="4"/>
    <x v="3"/>
    <x v="0"/>
    <n v="7363"/>
    <x v="2"/>
  </r>
  <r>
    <n v="187"/>
    <n v="33"/>
    <x v="0"/>
    <x v="1"/>
    <x v="1"/>
    <x v="1"/>
    <n v="2782"/>
    <x v="3"/>
  </r>
  <r>
    <n v="188"/>
    <n v="21"/>
    <x v="0"/>
    <x v="0"/>
    <x v="2"/>
    <x v="0"/>
    <n v="5652"/>
    <x v="0"/>
  </r>
  <r>
    <n v="189"/>
    <n v="23"/>
    <x v="1"/>
    <x v="0"/>
    <x v="1"/>
    <x v="4"/>
    <n v="19311"/>
    <x v="0"/>
  </r>
  <r>
    <n v="190"/>
    <n v="39"/>
    <x v="1"/>
    <x v="4"/>
    <x v="2"/>
    <x v="6"/>
    <n v="17118"/>
    <x v="2"/>
  </r>
  <r>
    <n v="191"/>
    <n v="23"/>
    <x v="1"/>
    <x v="0"/>
    <x v="1"/>
    <x v="4"/>
    <n v="22149"/>
    <x v="0"/>
  </r>
  <r>
    <n v="192"/>
    <n v="30"/>
    <x v="1"/>
    <x v="3"/>
    <x v="1"/>
    <x v="2"/>
    <n v="2394"/>
    <x v="3"/>
  </r>
  <r>
    <n v="193"/>
    <n v="42"/>
    <x v="0"/>
    <x v="1"/>
    <x v="2"/>
    <x v="0"/>
    <n v="1533"/>
    <x v="2"/>
  </r>
  <r>
    <n v="194"/>
    <n v="32"/>
    <x v="0"/>
    <x v="4"/>
    <x v="2"/>
    <x v="2"/>
    <n v="6108"/>
    <x v="3"/>
  </r>
  <r>
    <n v="195"/>
    <n v="19"/>
    <x v="0"/>
    <x v="0"/>
    <x v="2"/>
    <x v="4"/>
    <n v="20042"/>
    <x v="0"/>
  </r>
  <r>
    <n v="196"/>
    <n v="37"/>
    <x v="0"/>
    <x v="4"/>
    <x v="1"/>
    <x v="6"/>
    <n v="12957"/>
    <x v="2"/>
  </r>
  <r>
    <n v="197"/>
    <n v="38"/>
    <x v="0"/>
    <x v="1"/>
    <x v="3"/>
    <x v="0"/>
    <n v="7909"/>
    <x v="2"/>
  </r>
  <r>
    <n v="198"/>
    <n v="31"/>
    <x v="1"/>
    <x v="2"/>
    <x v="3"/>
    <x v="2"/>
    <n v="9574"/>
    <x v="3"/>
  </r>
  <r>
    <n v="199"/>
    <n v="58"/>
    <x v="1"/>
    <x v="2"/>
    <x v="1"/>
    <x v="1"/>
    <n v="6761"/>
    <x v="1"/>
  </r>
  <r>
    <n v="200"/>
    <n v="33"/>
    <x v="1"/>
    <x v="1"/>
    <x v="0"/>
    <x v="1"/>
    <n v="1315"/>
    <x v="3"/>
  </r>
  <r>
    <n v="201"/>
    <n v="53"/>
    <x v="1"/>
    <x v="1"/>
    <x v="2"/>
    <x v="0"/>
    <n v="5607"/>
    <x v="1"/>
  </r>
  <r>
    <n v="202"/>
    <n v="24"/>
    <x v="0"/>
    <x v="0"/>
    <x v="0"/>
    <x v="0"/>
    <n v="5305"/>
    <x v="0"/>
  </r>
  <r>
    <n v="203"/>
    <n v="46"/>
    <x v="0"/>
    <x v="4"/>
    <x v="0"/>
    <x v="1"/>
    <n v="5983"/>
    <x v="1"/>
  </r>
  <r>
    <n v="204"/>
    <n v="50"/>
    <x v="0"/>
    <x v="4"/>
    <x v="1"/>
    <x v="0"/>
    <n v="3336"/>
    <x v="1"/>
  </r>
  <r>
    <n v="205"/>
    <n v="54"/>
    <x v="0"/>
    <x v="2"/>
    <x v="2"/>
    <x v="0"/>
    <n v="8670"/>
    <x v="1"/>
  </r>
  <r>
    <n v="206"/>
    <n v="53"/>
    <x v="0"/>
    <x v="1"/>
    <x v="1"/>
    <x v="5"/>
    <n v="6070"/>
    <x v="1"/>
  </r>
  <r>
    <n v="207"/>
    <n v="39"/>
    <x v="1"/>
    <x v="3"/>
    <x v="2"/>
    <x v="6"/>
    <n v="6174"/>
    <x v="2"/>
  </r>
  <r>
    <n v="208"/>
    <n v="24"/>
    <x v="1"/>
    <x v="0"/>
    <x v="3"/>
    <x v="4"/>
    <n v="6977"/>
    <x v="0"/>
  </r>
  <r>
    <n v="209"/>
    <n v="42"/>
    <x v="1"/>
    <x v="1"/>
    <x v="1"/>
    <x v="0"/>
    <n v="6515"/>
    <x v="2"/>
  </r>
  <r>
    <n v="210"/>
    <n v="43"/>
    <x v="0"/>
    <x v="1"/>
    <x v="1"/>
    <x v="0"/>
    <n v="7124"/>
    <x v="2"/>
  </r>
  <r>
    <n v="211"/>
    <n v="27"/>
    <x v="1"/>
    <x v="3"/>
    <x v="2"/>
    <x v="1"/>
    <n v="4022"/>
    <x v="3"/>
  </r>
  <r>
    <n v="212"/>
    <n v="24"/>
    <x v="0"/>
    <x v="3"/>
    <x v="1"/>
    <x v="2"/>
    <n v="11979"/>
    <x v="0"/>
  </r>
  <r>
    <n v="213"/>
    <n v="51"/>
    <x v="1"/>
    <x v="3"/>
    <x v="1"/>
    <x v="2"/>
    <n v="12126"/>
    <x v="1"/>
  </r>
  <r>
    <n v="214"/>
    <n v="22"/>
    <x v="1"/>
    <x v="0"/>
    <x v="0"/>
    <x v="0"/>
    <n v="2162"/>
    <x v="0"/>
  </r>
  <r>
    <n v="215"/>
    <n v="37"/>
    <x v="0"/>
    <x v="3"/>
    <x v="3"/>
    <x v="1"/>
    <n v="863"/>
    <x v="2"/>
  </r>
  <r>
    <n v="216"/>
    <n v="22"/>
    <x v="1"/>
    <x v="3"/>
    <x v="3"/>
    <x v="6"/>
    <n v="11705"/>
    <x v="0"/>
  </r>
  <r>
    <n v="217"/>
    <n v="25"/>
    <x v="1"/>
    <x v="3"/>
    <x v="3"/>
    <x v="2"/>
    <n v="1652"/>
    <x v="0"/>
  </r>
  <r>
    <n v="218"/>
    <n v="31"/>
    <x v="0"/>
    <x v="3"/>
    <x v="2"/>
    <x v="0"/>
    <n v="5266"/>
    <x v="3"/>
  </r>
  <r>
    <n v="219"/>
    <n v="26"/>
    <x v="1"/>
    <x v="2"/>
    <x v="2"/>
    <x v="0"/>
    <n v="7930"/>
    <x v="3"/>
  </r>
  <r>
    <n v="220"/>
    <n v="55"/>
    <x v="1"/>
    <x v="3"/>
    <x v="2"/>
    <x v="1"/>
    <n v="2784"/>
    <x v="1"/>
  </r>
  <r>
    <n v="221"/>
    <n v="52"/>
    <x v="0"/>
    <x v="3"/>
    <x v="1"/>
    <x v="4"/>
    <n v="18950"/>
    <x v="1"/>
  </r>
  <r>
    <n v="222"/>
    <n v="22"/>
    <x v="1"/>
    <x v="0"/>
    <x v="3"/>
    <x v="5"/>
    <n v="6621"/>
    <x v="0"/>
  </r>
  <r>
    <n v="223"/>
    <n v="39"/>
    <x v="1"/>
    <x v="4"/>
    <x v="1"/>
    <x v="0"/>
    <n v="8901"/>
    <x v="2"/>
  </r>
  <r>
    <n v="224"/>
    <n v="33"/>
    <x v="0"/>
    <x v="3"/>
    <x v="2"/>
    <x v="6"/>
    <n v="6562"/>
    <x v="3"/>
  </r>
  <r>
    <n v="225"/>
    <n v="53"/>
    <x v="0"/>
    <x v="3"/>
    <x v="0"/>
    <x v="1"/>
    <n v="1718"/>
    <x v="1"/>
  </r>
  <r>
    <n v="226"/>
    <n v="55"/>
    <x v="0"/>
    <x v="2"/>
    <x v="2"/>
    <x v="1"/>
    <n v="3840"/>
    <x v="1"/>
  </r>
  <r>
    <n v="227"/>
    <n v="21"/>
    <x v="1"/>
    <x v="4"/>
    <x v="0"/>
    <x v="6"/>
    <n v="15389"/>
    <x v="0"/>
  </r>
  <r>
    <n v="228"/>
    <n v="25"/>
    <x v="0"/>
    <x v="0"/>
    <x v="1"/>
    <x v="0"/>
    <n v="4625"/>
    <x v="0"/>
  </r>
  <r>
    <n v="229"/>
    <n v="24"/>
    <x v="0"/>
    <x v="0"/>
    <x v="2"/>
    <x v="4"/>
    <n v="9476"/>
    <x v="0"/>
  </r>
  <r>
    <n v="230"/>
    <n v="21"/>
    <x v="1"/>
    <x v="0"/>
    <x v="0"/>
    <x v="6"/>
    <n v="8131"/>
    <x v="0"/>
  </r>
  <r>
    <n v="231"/>
    <n v="22"/>
    <x v="0"/>
    <x v="3"/>
    <x v="0"/>
    <x v="6"/>
    <n v="4682"/>
    <x v="0"/>
  </r>
  <r>
    <n v="232"/>
    <n v="24"/>
    <x v="0"/>
    <x v="0"/>
    <x v="0"/>
    <x v="3"/>
    <n v="4330"/>
    <x v="0"/>
  </r>
  <r>
    <n v="233"/>
    <n v="56"/>
    <x v="0"/>
    <x v="1"/>
    <x v="1"/>
    <x v="1"/>
    <n v="2283"/>
    <x v="1"/>
  </r>
  <r>
    <n v="234"/>
    <n v="52"/>
    <x v="1"/>
    <x v="1"/>
    <x v="0"/>
    <x v="0"/>
    <n v="7512"/>
    <x v="1"/>
  </r>
  <r>
    <n v="235"/>
    <n v="18"/>
    <x v="0"/>
    <x v="0"/>
    <x v="1"/>
    <x v="5"/>
    <n v="2653"/>
    <x v="0"/>
  </r>
  <r>
    <n v="236"/>
    <n v="23"/>
    <x v="0"/>
    <x v="0"/>
    <x v="1"/>
    <x v="2"/>
    <n v="3763"/>
    <x v="0"/>
  </r>
  <r>
    <n v="237"/>
    <n v="24"/>
    <x v="0"/>
    <x v="3"/>
    <x v="0"/>
    <x v="2"/>
    <n v="1487"/>
    <x v="0"/>
  </r>
  <r>
    <n v="238"/>
    <n v="38"/>
    <x v="1"/>
    <x v="4"/>
    <x v="0"/>
    <x v="5"/>
    <n v="5255"/>
    <x v="2"/>
  </r>
  <r>
    <n v="239"/>
    <n v="59"/>
    <x v="1"/>
    <x v="1"/>
    <x v="2"/>
    <x v="3"/>
    <n v="7877"/>
    <x v="1"/>
  </r>
  <r>
    <n v="240"/>
    <n v="57"/>
    <x v="0"/>
    <x v="1"/>
    <x v="2"/>
    <x v="0"/>
    <n v="3672"/>
    <x v="1"/>
  </r>
  <r>
    <n v="241"/>
    <n v="59"/>
    <x v="0"/>
    <x v="1"/>
    <x v="0"/>
    <x v="5"/>
    <n v="10147"/>
    <x v="1"/>
  </r>
  <r>
    <n v="242"/>
    <n v="21"/>
    <x v="0"/>
    <x v="0"/>
    <x v="3"/>
    <x v="0"/>
    <n v="2884"/>
    <x v="0"/>
  </r>
  <r>
    <n v="243"/>
    <n v="51"/>
    <x v="0"/>
    <x v="1"/>
    <x v="2"/>
    <x v="1"/>
    <n v="3132"/>
    <x v="1"/>
  </r>
  <r>
    <n v="244"/>
    <n v="24"/>
    <x v="1"/>
    <x v="3"/>
    <x v="3"/>
    <x v="0"/>
    <n v="6658"/>
    <x v="0"/>
  </r>
  <r>
    <n v="245"/>
    <n v="44"/>
    <x v="0"/>
    <x v="3"/>
    <x v="0"/>
    <x v="1"/>
    <n v="3782"/>
    <x v="2"/>
  </r>
  <r>
    <n v="246"/>
    <n v="27"/>
    <x v="1"/>
    <x v="1"/>
    <x v="1"/>
    <x v="1"/>
    <n v="3472"/>
    <x v="3"/>
  </r>
  <r>
    <n v="247"/>
    <n v="54"/>
    <x v="0"/>
    <x v="3"/>
    <x v="1"/>
    <x v="6"/>
    <n v="19706"/>
    <x v="1"/>
  </r>
  <r>
    <n v="248"/>
    <n v="60"/>
    <x v="1"/>
    <x v="2"/>
    <x v="0"/>
    <x v="3"/>
    <n v="6757"/>
    <x v="1"/>
  </r>
  <r>
    <n v="249"/>
    <n v="48"/>
    <x v="0"/>
    <x v="4"/>
    <x v="0"/>
    <x v="4"/>
    <n v="19011"/>
    <x v="1"/>
  </r>
  <r>
    <n v="250"/>
    <n v="31"/>
    <x v="0"/>
    <x v="1"/>
    <x v="1"/>
    <x v="3"/>
    <n v="2886"/>
    <x v="3"/>
  </r>
  <r>
    <n v="251"/>
    <n v="56"/>
    <x v="1"/>
    <x v="1"/>
    <x v="0"/>
    <x v="0"/>
    <n v="2517"/>
    <x v="1"/>
  </r>
  <r>
    <n v="252"/>
    <n v="25"/>
    <x v="0"/>
    <x v="0"/>
    <x v="1"/>
    <x v="1"/>
    <n v="5944"/>
    <x v="0"/>
  </r>
  <r>
    <n v="253"/>
    <n v="26"/>
    <x v="1"/>
    <x v="3"/>
    <x v="0"/>
    <x v="0"/>
    <n v="2407"/>
    <x v="3"/>
  </r>
  <r>
    <n v="254"/>
    <n v="52"/>
    <x v="1"/>
    <x v="1"/>
    <x v="3"/>
    <x v="1"/>
    <n v="2226"/>
    <x v="1"/>
  </r>
  <r>
    <n v="255"/>
    <n v="37"/>
    <x v="1"/>
    <x v="3"/>
    <x v="1"/>
    <x v="3"/>
    <n v="1970"/>
    <x v="2"/>
  </r>
  <r>
    <n v="256"/>
    <n v="18"/>
    <x v="1"/>
    <x v="0"/>
    <x v="2"/>
    <x v="0"/>
    <n v="1796"/>
    <x v="0"/>
  </r>
  <r>
    <n v="257"/>
    <n v="37"/>
    <x v="0"/>
    <x v="3"/>
    <x v="3"/>
    <x v="2"/>
    <n v="6272"/>
    <x v="2"/>
  </r>
  <r>
    <n v="258"/>
    <n v="24"/>
    <x v="1"/>
    <x v="0"/>
    <x v="2"/>
    <x v="4"/>
    <n v="23024"/>
    <x v="0"/>
  </r>
  <r>
    <n v="259"/>
    <n v="59"/>
    <x v="1"/>
    <x v="1"/>
    <x v="2"/>
    <x v="5"/>
    <n v="11066"/>
    <x v="1"/>
  </r>
  <r>
    <n v="260"/>
    <n v="20"/>
    <x v="0"/>
    <x v="0"/>
    <x v="3"/>
    <x v="3"/>
    <n v="928"/>
    <x v="0"/>
  </r>
  <r>
    <n v="261"/>
    <n v="20"/>
    <x v="1"/>
    <x v="0"/>
    <x v="3"/>
    <x v="4"/>
    <n v="9204"/>
    <x v="0"/>
  </r>
  <r>
    <n v="262"/>
    <n v="19"/>
    <x v="0"/>
    <x v="0"/>
    <x v="2"/>
    <x v="6"/>
    <n v="19670"/>
    <x v="0"/>
  </r>
  <r>
    <n v="263"/>
    <n v="55"/>
    <x v="0"/>
    <x v="1"/>
    <x v="2"/>
    <x v="0"/>
    <n v="5479"/>
    <x v="1"/>
  </r>
  <r>
    <n v="264"/>
    <n v="28"/>
    <x v="1"/>
    <x v="4"/>
    <x v="3"/>
    <x v="6"/>
    <n v="8646"/>
    <x v="3"/>
  </r>
  <r>
    <n v="265"/>
    <n v="44"/>
    <x v="1"/>
    <x v="3"/>
    <x v="0"/>
    <x v="0"/>
    <n v="2004"/>
    <x v="2"/>
  </r>
  <r>
    <n v="266"/>
    <n v="49"/>
    <x v="1"/>
    <x v="2"/>
    <x v="3"/>
    <x v="6"/>
    <n v="19622"/>
    <x v="1"/>
  </r>
  <r>
    <n v="267"/>
    <n v="53"/>
    <x v="1"/>
    <x v="3"/>
    <x v="0"/>
    <x v="1"/>
    <n v="2309"/>
    <x v="1"/>
  </r>
  <r>
    <n v="268"/>
    <n v="46"/>
    <x v="0"/>
    <x v="3"/>
    <x v="0"/>
    <x v="2"/>
    <n v="13631"/>
    <x v="1"/>
  </r>
  <r>
    <n v="269"/>
    <n v="54"/>
    <x v="0"/>
    <x v="3"/>
    <x v="1"/>
    <x v="3"/>
    <n v="3253"/>
    <x v="1"/>
  </r>
  <r>
    <n v="270"/>
    <n v="23"/>
    <x v="0"/>
    <x v="4"/>
    <x v="0"/>
    <x v="2"/>
    <n v="13606"/>
    <x v="0"/>
  </r>
  <r>
    <n v="271"/>
    <n v="21"/>
    <x v="0"/>
    <x v="0"/>
    <x v="3"/>
    <x v="4"/>
    <n v="18648"/>
    <x v="0"/>
  </r>
  <r>
    <n v="272"/>
    <n v="53"/>
    <x v="0"/>
    <x v="2"/>
    <x v="2"/>
    <x v="0"/>
    <n v="1881"/>
    <x v="1"/>
  </r>
  <r>
    <n v="273"/>
    <n v="47"/>
    <x v="1"/>
    <x v="3"/>
    <x v="0"/>
    <x v="0"/>
    <n v="3792"/>
    <x v="1"/>
  </r>
  <r>
    <n v="274"/>
    <n v="25"/>
    <x v="1"/>
    <x v="4"/>
    <x v="1"/>
    <x v="1"/>
    <n v="1381"/>
    <x v="0"/>
  </r>
  <r>
    <n v="275"/>
    <n v="43"/>
    <x v="1"/>
    <x v="3"/>
    <x v="3"/>
    <x v="1"/>
    <n v="4840"/>
    <x v="2"/>
  </r>
  <r>
    <n v="276"/>
    <n v="35"/>
    <x v="1"/>
    <x v="3"/>
    <x v="0"/>
    <x v="1"/>
    <n v="1949"/>
    <x v="3"/>
  </r>
  <r>
    <n v="277"/>
    <n v="49"/>
    <x v="0"/>
    <x v="2"/>
    <x v="2"/>
    <x v="0"/>
    <n v="3328"/>
    <x v="1"/>
  </r>
  <r>
    <n v="278"/>
    <n v="46"/>
    <x v="1"/>
    <x v="4"/>
    <x v="1"/>
    <x v="0"/>
    <n v="6835"/>
    <x v="1"/>
  </r>
  <r>
    <n v="279"/>
    <n v="29"/>
    <x v="0"/>
    <x v="1"/>
    <x v="3"/>
    <x v="0"/>
    <n v="1942"/>
    <x v="3"/>
  </r>
  <r>
    <n v="280"/>
    <n v="21"/>
    <x v="1"/>
    <x v="0"/>
    <x v="0"/>
    <x v="4"/>
    <n v="21363"/>
    <x v="0"/>
  </r>
  <r>
    <n v="281"/>
    <n v="45"/>
    <x v="0"/>
    <x v="3"/>
    <x v="0"/>
    <x v="6"/>
    <n v="17266"/>
    <x v="2"/>
  </r>
  <r>
    <n v="282"/>
    <n v="26"/>
    <x v="1"/>
    <x v="3"/>
    <x v="3"/>
    <x v="2"/>
    <n v="4291"/>
    <x v="3"/>
  </r>
  <r>
    <n v="283"/>
    <n v="29"/>
    <x v="0"/>
    <x v="4"/>
    <x v="1"/>
    <x v="2"/>
    <n v="7176"/>
    <x v="3"/>
  </r>
  <r>
    <n v="284"/>
    <n v="20"/>
    <x v="1"/>
    <x v="0"/>
    <x v="0"/>
    <x v="2"/>
    <n v="14686"/>
    <x v="0"/>
  </r>
  <r>
    <n v="285"/>
    <n v="55"/>
    <x v="0"/>
    <x v="3"/>
    <x v="0"/>
    <x v="2"/>
    <n v="7010"/>
    <x v="1"/>
  </r>
  <r>
    <n v="286"/>
    <n v="58"/>
    <x v="1"/>
    <x v="2"/>
    <x v="2"/>
    <x v="3"/>
    <n v="3565"/>
    <x v="1"/>
  </r>
  <r>
    <n v="287"/>
    <n v="26"/>
    <x v="0"/>
    <x v="4"/>
    <x v="2"/>
    <x v="0"/>
    <n v="1749"/>
    <x v="3"/>
  </r>
  <r>
    <n v="288"/>
    <n v="20"/>
    <x v="1"/>
    <x v="0"/>
    <x v="1"/>
    <x v="4"/>
    <n v="8253"/>
    <x v="0"/>
  </r>
  <r>
    <n v="289"/>
    <n v="21"/>
    <x v="1"/>
    <x v="0"/>
    <x v="2"/>
    <x v="5"/>
    <n v="9466"/>
    <x v="0"/>
  </r>
  <r>
    <n v="290"/>
    <n v="35"/>
    <x v="1"/>
    <x v="2"/>
    <x v="3"/>
    <x v="3"/>
    <n v="2318"/>
    <x v="3"/>
  </r>
  <r>
    <n v="291"/>
    <n v="36"/>
    <x v="1"/>
    <x v="4"/>
    <x v="2"/>
    <x v="1"/>
    <n v="4694"/>
    <x v="2"/>
  </r>
  <r>
    <n v="292"/>
    <n v="47"/>
    <x v="1"/>
    <x v="4"/>
    <x v="2"/>
    <x v="3"/>
    <n v="6684"/>
    <x v="1"/>
  </r>
  <r>
    <n v="293"/>
    <n v="48"/>
    <x v="0"/>
    <x v="3"/>
    <x v="0"/>
    <x v="5"/>
    <n v="1973"/>
    <x v="1"/>
  </r>
  <r>
    <n v="294"/>
    <n v="41"/>
    <x v="0"/>
    <x v="4"/>
    <x v="3"/>
    <x v="2"/>
    <n v="8818"/>
    <x v="2"/>
  </r>
  <r>
    <n v="295"/>
    <n v="46"/>
    <x v="0"/>
    <x v="4"/>
    <x v="3"/>
    <x v="5"/>
    <n v="6178"/>
    <x v="1"/>
  </r>
  <r>
    <n v="296"/>
    <n v="50"/>
    <x v="0"/>
    <x v="3"/>
    <x v="0"/>
    <x v="1"/>
    <n v="1053"/>
    <x v="1"/>
  </r>
  <r>
    <n v="297"/>
    <n v="23"/>
    <x v="1"/>
    <x v="3"/>
    <x v="3"/>
    <x v="0"/>
    <n v="7605"/>
    <x v="0"/>
  </r>
  <r>
    <n v="298"/>
    <n v="41"/>
    <x v="1"/>
    <x v="4"/>
    <x v="3"/>
    <x v="3"/>
    <n v="3721"/>
    <x v="2"/>
  </r>
  <r>
    <n v="299"/>
    <n v="45"/>
    <x v="0"/>
    <x v="3"/>
    <x v="0"/>
    <x v="1"/>
    <n v="3853"/>
    <x v="2"/>
  </r>
  <r>
    <n v="300"/>
    <n v="30"/>
    <x v="0"/>
    <x v="4"/>
    <x v="0"/>
    <x v="6"/>
    <n v="14493"/>
    <x v="3"/>
  </r>
  <r>
    <n v="301"/>
    <n v="35"/>
    <x v="1"/>
    <x v="2"/>
    <x v="1"/>
    <x v="1"/>
    <n v="3409"/>
    <x v="3"/>
  </r>
  <r>
    <n v="302"/>
    <n v="55"/>
    <x v="0"/>
    <x v="2"/>
    <x v="2"/>
    <x v="2"/>
    <n v="13673"/>
    <x v="1"/>
  </r>
  <r>
    <n v="303"/>
    <n v="38"/>
    <x v="1"/>
    <x v="3"/>
    <x v="0"/>
    <x v="1"/>
    <n v="837"/>
    <x v="2"/>
  </r>
  <r>
    <n v="304"/>
    <n v="26"/>
    <x v="0"/>
    <x v="3"/>
    <x v="1"/>
    <x v="1"/>
    <n v="6825"/>
    <x v="3"/>
  </r>
  <r>
    <n v="305"/>
    <n v="18"/>
    <x v="0"/>
    <x v="0"/>
    <x v="2"/>
    <x v="3"/>
    <n v="2732"/>
    <x v="0"/>
  </r>
  <r>
    <n v="306"/>
    <n v="20"/>
    <x v="1"/>
    <x v="0"/>
    <x v="0"/>
    <x v="3"/>
    <n v="6189"/>
    <x v="0"/>
  </r>
  <r>
    <n v="307"/>
    <n v="23"/>
    <x v="1"/>
    <x v="3"/>
    <x v="3"/>
    <x v="5"/>
    <n v="9024"/>
    <x v="0"/>
  </r>
  <r>
    <n v="308"/>
    <n v="39"/>
    <x v="0"/>
    <x v="4"/>
    <x v="1"/>
    <x v="3"/>
    <n v="2466"/>
    <x v="2"/>
  </r>
  <r>
    <n v="309"/>
    <n v="40"/>
    <x v="0"/>
    <x v="3"/>
    <x v="3"/>
    <x v="1"/>
    <n v="2676"/>
    <x v="2"/>
  </r>
  <r>
    <n v="310"/>
    <n v="33"/>
    <x v="1"/>
    <x v="3"/>
    <x v="0"/>
    <x v="3"/>
    <n v="2676"/>
    <x v="3"/>
  </r>
  <r>
    <n v="311"/>
    <n v="40"/>
    <x v="1"/>
    <x v="3"/>
    <x v="0"/>
    <x v="0"/>
    <n v="5456"/>
    <x v="2"/>
  </r>
  <r>
    <n v="312"/>
    <n v="30"/>
    <x v="1"/>
    <x v="4"/>
    <x v="2"/>
    <x v="3"/>
    <n v="1146"/>
    <x v="3"/>
  </r>
  <r>
    <n v="313"/>
    <n v="37"/>
    <x v="0"/>
    <x v="3"/>
    <x v="3"/>
    <x v="0"/>
    <n v="3059"/>
    <x v="2"/>
  </r>
  <r>
    <n v="314"/>
    <n v="43"/>
    <x v="0"/>
    <x v="2"/>
    <x v="3"/>
    <x v="0"/>
    <n v="3157"/>
    <x v="2"/>
  </r>
  <r>
    <n v="315"/>
    <n v="51"/>
    <x v="0"/>
    <x v="3"/>
    <x v="3"/>
    <x v="1"/>
    <n v="4295"/>
    <x v="1"/>
  </r>
  <r>
    <n v="316"/>
    <n v="48"/>
    <x v="0"/>
    <x v="2"/>
    <x v="3"/>
    <x v="0"/>
    <n v="4721"/>
    <x v="1"/>
  </r>
  <r>
    <n v="317"/>
    <n v="36"/>
    <x v="1"/>
    <x v="3"/>
    <x v="3"/>
    <x v="5"/>
    <n v="8677"/>
    <x v="2"/>
  </r>
  <r>
    <n v="318"/>
    <n v="41"/>
    <x v="1"/>
    <x v="3"/>
    <x v="3"/>
    <x v="3"/>
    <n v="4710"/>
    <x v="2"/>
  </r>
  <r>
    <n v="319"/>
    <n v="29"/>
    <x v="0"/>
    <x v="3"/>
    <x v="3"/>
    <x v="0"/>
    <n v="6352"/>
    <x v="3"/>
  </r>
  <r>
    <n v="320"/>
    <n v="25"/>
    <x v="1"/>
    <x v="3"/>
    <x v="2"/>
    <x v="2"/>
    <n v="4316"/>
    <x v="0"/>
  </r>
  <r>
    <n v="321"/>
    <n v="28"/>
    <x v="1"/>
    <x v="3"/>
    <x v="2"/>
    <x v="4"/>
    <n v="9661"/>
    <x v="3"/>
  </r>
  <r>
    <n v="322"/>
    <n v="41"/>
    <x v="1"/>
    <x v="4"/>
    <x v="3"/>
    <x v="2"/>
    <n v="2801"/>
    <x v="2"/>
  </r>
  <r>
    <n v="323"/>
    <n v="48"/>
    <x v="0"/>
    <x v="2"/>
    <x v="1"/>
    <x v="0"/>
    <n v="3411"/>
    <x v="1"/>
  </r>
  <r>
    <n v="324"/>
    <n v="27"/>
    <x v="0"/>
    <x v="1"/>
    <x v="1"/>
    <x v="5"/>
    <n v="5412"/>
    <x v="3"/>
  </r>
  <r>
    <n v="325"/>
    <n v="32"/>
    <x v="1"/>
    <x v="1"/>
    <x v="0"/>
    <x v="0"/>
    <n v="5573"/>
    <x v="3"/>
  </r>
  <r>
    <n v="326"/>
    <n v="30"/>
    <x v="1"/>
    <x v="1"/>
    <x v="1"/>
    <x v="5"/>
    <n v="6487"/>
    <x v="3"/>
  </r>
  <r>
    <n v="327"/>
    <n v="50"/>
    <x v="0"/>
    <x v="2"/>
    <x v="3"/>
    <x v="1"/>
    <n v="2430"/>
    <x v="1"/>
  </r>
  <r>
    <n v="328"/>
    <n v="43"/>
    <x v="1"/>
    <x v="2"/>
    <x v="1"/>
    <x v="6"/>
    <n v="11315"/>
    <x v="2"/>
  </r>
  <r>
    <n v="329"/>
    <n v="18"/>
    <x v="0"/>
    <x v="0"/>
    <x v="3"/>
    <x v="4"/>
    <n v="16905"/>
    <x v="0"/>
  </r>
  <r>
    <n v="330"/>
    <n v="34"/>
    <x v="0"/>
    <x v="2"/>
    <x v="0"/>
    <x v="2"/>
    <n v="10734"/>
    <x v="3"/>
  </r>
  <r>
    <n v="331"/>
    <n v="35"/>
    <x v="0"/>
    <x v="3"/>
    <x v="1"/>
    <x v="6"/>
    <n v="10484"/>
    <x v="3"/>
  </r>
  <r>
    <n v="332"/>
    <n v="42"/>
    <x v="0"/>
    <x v="3"/>
    <x v="2"/>
    <x v="2"/>
    <n v="7098"/>
    <x v="2"/>
  </r>
  <r>
    <n v="333"/>
    <n v="39"/>
    <x v="0"/>
    <x v="4"/>
    <x v="0"/>
    <x v="6"/>
    <n v="18700"/>
    <x v="2"/>
  </r>
  <r>
    <n v="334"/>
    <n v="40"/>
    <x v="1"/>
    <x v="1"/>
    <x v="3"/>
    <x v="1"/>
    <n v="1935"/>
    <x v="2"/>
  </r>
  <r>
    <n v="335"/>
    <n v="32"/>
    <x v="0"/>
    <x v="3"/>
    <x v="0"/>
    <x v="3"/>
    <n v="4452"/>
    <x v="3"/>
  </r>
  <r>
    <n v="336"/>
    <n v="53"/>
    <x v="0"/>
    <x v="3"/>
    <x v="1"/>
    <x v="1"/>
    <n v="4475"/>
    <x v="1"/>
  </r>
  <r>
    <n v="337"/>
    <n v="46"/>
    <x v="0"/>
    <x v="1"/>
    <x v="2"/>
    <x v="0"/>
    <n v="8377"/>
    <x v="1"/>
  </r>
  <r>
    <n v="338"/>
    <n v="39"/>
    <x v="1"/>
    <x v="2"/>
    <x v="2"/>
    <x v="6"/>
    <n v="7910"/>
    <x v="2"/>
  </r>
  <r>
    <n v="339"/>
    <n v="39"/>
    <x v="0"/>
    <x v="1"/>
    <x v="2"/>
    <x v="5"/>
    <n v="8879"/>
    <x v="2"/>
  </r>
  <r>
    <n v="340"/>
    <n v="25"/>
    <x v="0"/>
    <x v="0"/>
    <x v="1"/>
    <x v="4"/>
    <n v="11407"/>
    <x v="0"/>
  </r>
  <r>
    <n v="341"/>
    <n v="25"/>
    <x v="0"/>
    <x v="3"/>
    <x v="0"/>
    <x v="2"/>
    <n v="12528"/>
    <x v="0"/>
  </r>
  <r>
    <n v="342"/>
    <n v="22"/>
    <x v="0"/>
    <x v="0"/>
    <x v="0"/>
    <x v="0"/>
    <n v="1866"/>
    <x v="0"/>
  </r>
  <r>
    <n v="343"/>
    <n v="39"/>
    <x v="1"/>
    <x v="3"/>
    <x v="1"/>
    <x v="2"/>
    <n v="2807"/>
    <x v="2"/>
  </r>
  <r>
    <n v="344"/>
    <n v="55"/>
    <x v="0"/>
    <x v="3"/>
    <x v="1"/>
    <x v="5"/>
    <n v="10227"/>
    <x v="1"/>
  </r>
  <r>
    <n v="345"/>
    <n v="55"/>
    <x v="1"/>
    <x v="2"/>
    <x v="2"/>
    <x v="1"/>
    <n v="6374"/>
    <x v="1"/>
  </r>
  <r>
    <n v="346"/>
    <n v="47"/>
    <x v="0"/>
    <x v="4"/>
    <x v="3"/>
    <x v="2"/>
    <n v="3526"/>
    <x v="1"/>
  </r>
  <r>
    <n v="347"/>
    <n v="41"/>
    <x v="1"/>
    <x v="3"/>
    <x v="0"/>
    <x v="6"/>
    <n v="10061"/>
    <x v="2"/>
  </r>
  <r>
    <n v="348"/>
    <n v="31"/>
    <x v="1"/>
    <x v="3"/>
    <x v="0"/>
    <x v="5"/>
    <n v="2696"/>
    <x v="3"/>
  </r>
  <r>
    <n v="349"/>
    <n v="45"/>
    <x v="1"/>
    <x v="2"/>
    <x v="2"/>
    <x v="5"/>
    <n v="5148"/>
    <x v="2"/>
  </r>
  <r>
    <n v="350"/>
    <n v="44"/>
    <x v="1"/>
    <x v="4"/>
    <x v="2"/>
    <x v="3"/>
    <n v="5917"/>
    <x v="2"/>
  </r>
  <r>
    <n v="351"/>
    <n v="44"/>
    <x v="1"/>
    <x v="4"/>
    <x v="3"/>
    <x v="2"/>
    <n v="4040"/>
    <x v="2"/>
  </r>
  <r>
    <n v="352"/>
    <n v="48"/>
    <x v="1"/>
    <x v="1"/>
    <x v="0"/>
    <x v="5"/>
    <n v="5656"/>
    <x v="1"/>
  </r>
  <r>
    <n v="353"/>
    <n v="33"/>
    <x v="0"/>
    <x v="2"/>
    <x v="2"/>
    <x v="1"/>
    <n v="2599"/>
    <x v="3"/>
  </r>
  <r>
    <n v="354"/>
    <n v="43"/>
    <x v="1"/>
    <x v="1"/>
    <x v="2"/>
    <x v="1"/>
    <n v="3707"/>
    <x v="2"/>
  </r>
  <r>
    <n v="355"/>
    <n v="20"/>
    <x v="1"/>
    <x v="0"/>
    <x v="3"/>
    <x v="4"/>
    <n v="21144"/>
    <x v="0"/>
  </r>
  <r>
    <n v="356"/>
    <n v="27"/>
    <x v="0"/>
    <x v="2"/>
    <x v="2"/>
    <x v="6"/>
    <n v="18033"/>
    <x v="3"/>
  </r>
  <r>
    <n v="357"/>
    <n v="39"/>
    <x v="0"/>
    <x v="2"/>
    <x v="1"/>
    <x v="0"/>
    <n v="3801"/>
    <x v="2"/>
  </r>
  <r>
    <n v="358"/>
    <n v="33"/>
    <x v="0"/>
    <x v="3"/>
    <x v="0"/>
    <x v="5"/>
    <n v="11842"/>
    <x v="3"/>
  </r>
  <r>
    <n v="359"/>
    <n v="22"/>
    <x v="1"/>
    <x v="0"/>
    <x v="2"/>
    <x v="4"/>
    <n v="18190"/>
    <x v="0"/>
  </r>
  <r>
    <n v="360"/>
    <n v="21"/>
    <x v="0"/>
    <x v="0"/>
    <x v="2"/>
    <x v="0"/>
    <n v="6681"/>
    <x v="0"/>
  </r>
  <r>
    <n v="361"/>
    <n v="44"/>
    <x v="0"/>
    <x v="1"/>
    <x v="3"/>
    <x v="0"/>
    <n v="6085"/>
    <x v="2"/>
  </r>
  <r>
    <n v="362"/>
    <n v="20"/>
    <x v="1"/>
    <x v="0"/>
    <x v="3"/>
    <x v="4"/>
    <n v="8177"/>
    <x v="0"/>
  </r>
  <r>
    <n v="363"/>
    <n v="20"/>
    <x v="1"/>
    <x v="0"/>
    <x v="1"/>
    <x v="0"/>
    <n v="4190"/>
    <x v="0"/>
  </r>
  <r>
    <n v="364"/>
    <n v="19"/>
    <x v="0"/>
    <x v="0"/>
    <x v="2"/>
    <x v="0"/>
    <n v="5427"/>
    <x v="0"/>
  </r>
  <r>
    <n v="365"/>
    <n v="44"/>
    <x v="1"/>
    <x v="4"/>
    <x v="0"/>
    <x v="1"/>
    <n v="7000"/>
    <x v="2"/>
  </r>
  <r>
    <n v="366"/>
    <n v="20"/>
    <x v="1"/>
    <x v="0"/>
    <x v="3"/>
    <x v="6"/>
    <n v="8983"/>
    <x v="0"/>
  </r>
  <r>
    <n v="367"/>
    <n v="28"/>
    <x v="1"/>
    <x v="3"/>
    <x v="3"/>
    <x v="4"/>
    <n v="21959"/>
    <x v="3"/>
  </r>
  <r>
    <n v="368"/>
    <n v="24"/>
    <x v="0"/>
    <x v="3"/>
    <x v="2"/>
    <x v="1"/>
    <n v="4156"/>
    <x v="0"/>
  </r>
  <r>
    <n v="369"/>
    <n v="39"/>
    <x v="1"/>
    <x v="2"/>
    <x v="1"/>
    <x v="0"/>
    <n v="2723"/>
    <x v="2"/>
  </r>
  <r>
    <n v="370"/>
    <n v="51"/>
    <x v="0"/>
    <x v="2"/>
    <x v="0"/>
    <x v="0"/>
    <n v="6188"/>
    <x v="1"/>
  </r>
  <r>
    <n v="371"/>
    <n v="28"/>
    <x v="1"/>
    <x v="3"/>
    <x v="0"/>
    <x v="2"/>
    <n v="14225"/>
    <x v="3"/>
  </r>
  <r>
    <n v="372"/>
    <n v="19"/>
    <x v="0"/>
    <x v="0"/>
    <x v="3"/>
    <x v="4"/>
    <n v="17083"/>
    <x v="0"/>
  </r>
  <r>
    <n v="373"/>
    <n v="27"/>
    <x v="0"/>
    <x v="3"/>
    <x v="1"/>
    <x v="4"/>
    <n v="20830"/>
    <x v="3"/>
  </r>
  <r>
    <n v="374"/>
    <n v="26"/>
    <x v="0"/>
    <x v="3"/>
    <x v="2"/>
    <x v="6"/>
    <n v="9192"/>
    <x v="3"/>
  </r>
  <r>
    <n v="375"/>
    <n v="24"/>
    <x v="1"/>
    <x v="0"/>
    <x v="0"/>
    <x v="0"/>
    <n v="5641"/>
    <x v="0"/>
  </r>
  <r>
    <n v="376"/>
    <n v="25"/>
    <x v="1"/>
    <x v="0"/>
    <x v="3"/>
    <x v="0"/>
    <n v="3329"/>
    <x v="0"/>
  </r>
  <r>
    <n v="377"/>
    <n v="37"/>
    <x v="0"/>
    <x v="3"/>
    <x v="0"/>
    <x v="3"/>
    <n v="6476"/>
    <x v="2"/>
  </r>
  <r>
    <n v="378"/>
    <n v="20"/>
    <x v="1"/>
    <x v="0"/>
    <x v="1"/>
    <x v="0"/>
    <n v="2165"/>
    <x v="0"/>
  </r>
  <r>
    <n v="379"/>
    <n v="25"/>
    <x v="1"/>
    <x v="0"/>
    <x v="2"/>
    <x v="6"/>
    <n v="18137"/>
    <x v="0"/>
  </r>
  <r>
    <n v="380"/>
    <n v="24"/>
    <x v="1"/>
    <x v="0"/>
    <x v="2"/>
    <x v="0"/>
    <n v="4539"/>
    <x v="0"/>
  </r>
  <r>
    <n v="381"/>
    <n v="56"/>
    <x v="1"/>
    <x v="1"/>
    <x v="1"/>
    <x v="5"/>
    <n v="4004"/>
    <x v="1"/>
  </r>
  <r>
    <n v="382"/>
    <n v="42"/>
    <x v="1"/>
    <x v="3"/>
    <x v="1"/>
    <x v="1"/>
    <n v="4112"/>
    <x v="2"/>
  </r>
  <r>
    <n v="383"/>
    <n v="47"/>
    <x v="0"/>
    <x v="1"/>
    <x v="2"/>
    <x v="0"/>
    <n v="5617"/>
    <x v="1"/>
  </r>
  <r>
    <n v="384"/>
    <n v="37"/>
    <x v="0"/>
    <x v="3"/>
    <x v="0"/>
    <x v="1"/>
    <n v="2004"/>
    <x v="2"/>
  </r>
  <r>
    <n v="385"/>
    <n v="25"/>
    <x v="1"/>
    <x v="3"/>
    <x v="0"/>
    <x v="1"/>
    <n v="3258"/>
    <x v="0"/>
  </r>
  <r>
    <n v="386"/>
    <n v="52"/>
    <x v="1"/>
    <x v="3"/>
    <x v="2"/>
    <x v="0"/>
    <n v="7812"/>
    <x v="1"/>
  </r>
  <r>
    <n v="387"/>
    <n v="31"/>
    <x v="0"/>
    <x v="1"/>
    <x v="0"/>
    <x v="0"/>
    <n v="6246"/>
    <x v="3"/>
  </r>
  <r>
    <n v="388"/>
    <n v="19"/>
    <x v="1"/>
    <x v="0"/>
    <x v="0"/>
    <x v="4"/>
    <n v="4621"/>
    <x v="0"/>
  </r>
  <r>
    <n v="389"/>
    <n v="52"/>
    <x v="1"/>
    <x v="3"/>
    <x v="0"/>
    <x v="6"/>
    <n v="17030"/>
    <x v="1"/>
  </r>
  <r>
    <n v="390"/>
    <n v="56"/>
    <x v="1"/>
    <x v="1"/>
    <x v="2"/>
    <x v="1"/>
    <n v="4087"/>
    <x v="1"/>
  </r>
  <r>
    <n v="391"/>
    <n v="20"/>
    <x v="0"/>
    <x v="0"/>
    <x v="0"/>
    <x v="0"/>
    <n v="8412"/>
    <x v="0"/>
  </r>
  <r>
    <n v="392"/>
    <n v="34"/>
    <x v="0"/>
    <x v="4"/>
    <x v="3"/>
    <x v="0"/>
    <n v="7727"/>
    <x v="3"/>
  </r>
  <r>
    <n v="393"/>
    <n v="54"/>
    <x v="0"/>
    <x v="3"/>
    <x v="1"/>
    <x v="0"/>
    <n v="4964"/>
    <x v="1"/>
  </r>
  <r>
    <n v="394"/>
    <n v="30"/>
    <x v="1"/>
    <x v="2"/>
    <x v="0"/>
    <x v="1"/>
    <n v="3946"/>
    <x v="3"/>
  </r>
  <r>
    <n v="395"/>
    <n v="42"/>
    <x v="0"/>
    <x v="3"/>
    <x v="0"/>
    <x v="1"/>
    <n v="2174"/>
    <x v="2"/>
  </r>
  <r>
    <n v="396"/>
    <n v="34"/>
    <x v="1"/>
    <x v="3"/>
    <x v="2"/>
    <x v="0"/>
    <n v="4116"/>
    <x v="3"/>
  </r>
  <r>
    <n v="397"/>
    <n v="24"/>
    <x v="0"/>
    <x v="0"/>
    <x v="0"/>
    <x v="6"/>
    <n v="13928"/>
    <x v="0"/>
  </r>
  <r>
    <n v="398"/>
    <n v="55"/>
    <x v="0"/>
    <x v="3"/>
    <x v="2"/>
    <x v="5"/>
    <n v="3446"/>
    <x v="1"/>
  </r>
  <r>
    <n v="399"/>
    <n v="35"/>
    <x v="1"/>
    <x v="2"/>
    <x v="3"/>
    <x v="6"/>
    <n v="2158"/>
    <x v="3"/>
  </r>
  <r>
    <n v="400"/>
    <n v="22"/>
    <x v="0"/>
    <x v="0"/>
    <x v="0"/>
    <x v="0"/>
    <n v="7333"/>
    <x v="0"/>
  </r>
  <r>
    <n v="401"/>
    <n v="23"/>
    <x v="0"/>
    <x v="0"/>
    <x v="2"/>
    <x v="4"/>
    <n v="20784"/>
    <x v="0"/>
  </r>
  <r>
    <n v="402"/>
    <n v="51"/>
    <x v="0"/>
    <x v="2"/>
    <x v="0"/>
    <x v="6"/>
    <n v="18897"/>
    <x v="1"/>
  </r>
  <r>
    <n v="403"/>
    <n v="27"/>
    <x v="0"/>
    <x v="1"/>
    <x v="1"/>
    <x v="1"/>
    <n v="1188"/>
    <x v="3"/>
  </r>
  <r>
    <n v="404"/>
    <n v="45"/>
    <x v="1"/>
    <x v="3"/>
    <x v="0"/>
    <x v="0"/>
    <n v="2645"/>
    <x v="2"/>
  </r>
  <r>
    <n v="405"/>
    <n v="24"/>
    <x v="0"/>
    <x v="0"/>
    <x v="2"/>
    <x v="0"/>
    <n v="5161"/>
    <x v="0"/>
  </r>
  <r>
    <n v="406"/>
    <n v="42"/>
    <x v="0"/>
    <x v="2"/>
    <x v="2"/>
    <x v="2"/>
    <n v="6103"/>
    <x v="2"/>
  </r>
  <r>
    <n v="407"/>
    <n v="26"/>
    <x v="1"/>
    <x v="3"/>
    <x v="1"/>
    <x v="4"/>
    <n v="6515"/>
    <x v="3"/>
  </r>
  <r>
    <n v="408"/>
    <n v="21"/>
    <x v="0"/>
    <x v="0"/>
    <x v="2"/>
    <x v="2"/>
    <n v="4675"/>
    <x v="0"/>
  </r>
  <r>
    <n v="409"/>
    <n v="24"/>
    <x v="1"/>
    <x v="0"/>
    <x v="2"/>
    <x v="6"/>
    <n v="5646"/>
    <x v="0"/>
  </r>
  <r>
    <n v="410"/>
    <n v="34"/>
    <x v="0"/>
    <x v="3"/>
    <x v="1"/>
    <x v="0"/>
    <n v="5646"/>
    <x v="3"/>
  </r>
  <r>
    <n v="411"/>
    <n v="19"/>
    <x v="0"/>
    <x v="0"/>
    <x v="2"/>
    <x v="4"/>
    <n v="21255"/>
    <x v="0"/>
  </r>
  <r>
    <n v="412"/>
    <n v="49"/>
    <x v="1"/>
    <x v="4"/>
    <x v="2"/>
    <x v="4"/>
    <n v="11486"/>
    <x v="1"/>
  </r>
  <r>
    <n v="413"/>
    <n v="27"/>
    <x v="1"/>
    <x v="1"/>
    <x v="1"/>
    <x v="5"/>
    <n v="5783"/>
    <x v="3"/>
  </r>
  <r>
    <n v="414"/>
    <n v="27"/>
    <x v="1"/>
    <x v="4"/>
    <x v="0"/>
    <x v="6"/>
    <n v="19850"/>
    <x v="3"/>
  </r>
  <r>
    <n v="415"/>
    <n v="43"/>
    <x v="1"/>
    <x v="1"/>
    <x v="1"/>
    <x v="1"/>
    <n v="5008"/>
    <x v="2"/>
  </r>
  <r>
    <n v="416"/>
    <n v="45"/>
    <x v="1"/>
    <x v="3"/>
    <x v="1"/>
    <x v="2"/>
    <n v="1612"/>
    <x v="2"/>
  </r>
  <r>
    <n v="417"/>
    <n v="41"/>
    <x v="1"/>
    <x v="3"/>
    <x v="2"/>
    <x v="3"/>
    <n v="2554"/>
    <x v="2"/>
  </r>
  <r>
    <n v="418"/>
    <n v="49"/>
    <x v="1"/>
    <x v="1"/>
    <x v="2"/>
    <x v="0"/>
    <n v="3808"/>
    <x v="1"/>
  </r>
  <r>
    <n v="419"/>
    <n v="27"/>
    <x v="1"/>
    <x v="3"/>
    <x v="3"/>
    <x v="1"/>
    <n v="5874"/>
    <x v="3"/>
  </r>
  <r>
    <n v="420"/>
    <n v="18"/>
    <x v="1"/>
    <x v="0"/>
    <x v="3"/>
    <x v="0"/>
    <n v="3692"/>
    <x v="0"/>
  </r>
  <r>
    <n v="421"/>
    <n v="25"/>
    <x v="1"/>
    <x v="0"/>
    <x v="3"/>
    <x v="6"/>
    <n v="15285"/>
    <x v="0"/>
  </r>
  <r>
    <n v="422"/>
    <n v="25"/>
    <x v="0"/>
    <x v="2"/>
    <x v="1"/>
    <x v="3"/>
    <n v="7364"/>
    <x v="0"/>
  </r>
  <r>
    <n v="423"/>
    <n v="31"/>
    <x v="0"/>
    <x v="3"/>
    <x v="0"/>
    <x v="4"/>
    <n v="13637"/>
    <x v="3"/>
  </r>
  <r>
    <n v="424"/>
    <n v="31"/>
    <x v="0"/>
    <x v="3"/>
    <x v="0"/>
    <x v="1"/>
    <n v="1165"/>
    <x v="3"/>
  </r>
  <r>
    <n v="425"/>
    <n v="24"/>
    <x v="1"/>
    <x v="0"/>
    <x v="2"/>
    <x v="3"/>
    <n v="1301"/>
    <x v="0"/>
  </r>
  <r>
    <n v="426"/>
    <n v="48"/>
    <x v="1"/>
    <x v="3"/>
    <x v="3"/>
    <x v="0"/>
    <n v="2435"/>
    <x v="1"/>
  </r>
  <r>
    <n v="427"/>
    <n v="28"/>
    <x v="1"/>
    <x v="4"/>
    <x v="2"/>
    <x v="6"/>
    <n v="9605"/>
    <x v="3"/>
  </r>
  <r>
    <n v="428"/>
    <n v="24"/>
    <x v="0"/>
    <x v="0"/>
    <x v="0"/>
    <x v="1"/>
    <n v="6659"/>
    <x v="0"/>
  </r>
  <r>
    <n v="429"/>
    <n v="59"/>
    <x v="1"/>
    <x v="1"/>
    <x v="3"/>
    <x v="5"/>
    <n v="7901"/>
    <x v="1"/>
  </r>
  <r>
    <n v="430"/>
    <n v="51"/>
    <x v="0"/>
    <x v="3"/>
    <x v="2"/>
    <x v="0"/>
    <n v="2916"/>
    <x v="1"/>
  </r>
  <r>
    <n v="431"/>
    <n v="29"/>
    <x v="0"/>
    <x v="4"/>
    <x v="2"/>
    <x v="3"/>
    <n v="6203"/>
    <x v="3"/>
  </r>
  <r>
    <n v="432"/>
    <n v="23"/>
    <x v="1"/>
    <x v="3"/>
    <x v="1"/>
    <x v="0"/>
    <n v="3320"/>
    <x v="0"/>
  </r>
  <r>
    <n v="433"/>
    <n v="48"/>
    <x v="0"/>
    <x v="4"/>
    <x v="0"/>
    <x v="0"/>
    <n v="5480"/>
    <x v="1"/>
  </r>
  <r>
    <n v="434"/>
    <n v="27"/>
    <x v="0"/>
    <x v="3"/>
    <x v="1"/>
    <x v="6"/>
    <n v="5531"/>
    <x v="3"/>
  </r>
  <r>
    <n v="435"/>
    <n v="56"/>
    <x v="1"/>
    <x v="2"/>
    <x v="1"/>
    <x v="2"/>
    <n v="5041"/>
    <x v="1"/>
  </r>
  <r>
    <n v="436"/>
    <n v="37"/>
    <x v="0"/>
    <x v="1"/>
    <x v="3"/>
    <x v="5"/>
    <n v="11938"/>
    <x v="2"/>
  </r>
  <r>
    <n v="437"/>
    <n v="27"/>
    <x v="1"/>
    <x v="3"/>
    <x v="3"/>
    <x v="3"/>
    <n v="4538"/>
    <x v="3"/>
  </r>
  <r>
    <n v="438"/>
    <n v="25"/>
    <x v="1"/>
    <x v="0"/>
    <x v="0"/>
    <x v="1"/>
    <n v="3410"/>
    <x v="0"/>
  </r>
  <r>
    <n v="439"/>
    <n v="18"/>
    <x v="0"/>
    <x v="0"/>
    <x v="0"/>
    <x v="3"/>
    <n v="7523"/>
    <x v="0"/>
  </r>
  <r>
    <n v="440"/>
    <n v="51"/>
    <x v="0"/>
    <x v="3"/>
    <x v="2"/>
    <x v="1"/>
    <n v="1097"/>
    <x v="1"/>
  </r>
  <r>
    <n v="441"/>
    <n v="19"/>
    <x v="1"/>
    <x v="0"/>
    <x v="0"/>
    <x v="4"/>
    <n v="14782"/>
    <x v="0"/>
  </r>
  <r>
    <n v="442"/>
    <n v="40"/>
    <x v="1"/>
    <x v="3"/>
    <x v="2"/>
    <x v="2"/>
    <n v="13048"/>
    <x v="2"/>
  </r>
  <r>
    <n v="443"/>
    <n v="45"/>
    <x v="1"/>
    <x v="3"/>
    <x v="2"/>
    <x v="2"/>
    <n v="7777"/>
    <x v="2"/>
  </r>
  <r>
    <n v="444"/>
    <n v="51"/>
    <x v="0"/>
    <x v="3"/>
    <x v="3"/>
    <x v="1"/>
    <n v="1607"/>
    <x v="1"/>
  </r>
  <r>
    <n v="445"/>
    <n v="22"/>
    <x v="1"/>
    <x v="0"/>
    <x v="1"/>
    <x v="4"/>
    <n v="14780"/>
    <x v="0"/>
  </r>
  <r>
    <n v="446"/>
    <n v="31"/>
    <x v="1"/>
    <x v="4"/>
    <x v="1"/>
    <x v="1"/>
    <n v="1150"/>
    <x v="3"/>
  </r>
  <r>
    <n v="447"/>
    <n v="42"/>
    <x v="1"/>
    <x v="3"/>
    <x v="1"/>
    <x v="1"/>
    <n v="5742"/>
    <x v="2"/>
  </r>
  <r>
    <n v="448"/>
    <n v="23"/>
    <x v="0"/>
    <x v="0"/>
    <x v="1"/>
    <x v="0"/>
    <n v="2163"/>
    <x v="0"/>
  </r>
  <r>
    <n v="449"/>
    <n v="30"/>
    <x v="1"/>
    <x v="3"/>
    <x v="3"/>
    <x v="0"/>
    <n v="8811"/>
    <x v="3"/>
  </r>
  <r>
    <n v="450"/>
    <n v="56"/>
    <x v="1"/>
    <x v="2"/>
    <x v="3"/>
    <x v="0"/>
    <n v="7864"/>
    <x v="1"/>
  </r>
  <r>
    <n v="451"/>
    <n v="43"/>
    <x v="1"/>
    <x v="2"/>
    <x v="3"/>
    <x v="0"/>
    <n v="5594"/>
    <x v="2"/>
  </r>
  <r>
    <n v="452"/>
    <n v="22"/>
    <x v="0"/>
    <x v="0"/>
    <x v="0"/>
    <x v="4"/>
    <n v="21294"/>
    <x v="0"/>
  </r>
  <r>
    <n v="453"/>
    <n v="25"/>
    <x v="0"/>
    <x v="0"/>
    <x v="2"/>
    <x v="0"/>
    <n v="5284"/>
    <x v="0"/>
  </r>
  <r>
    <n v="454"/>
    <n v="25"/>
    <x v="0"/>
    <x v="0"/>
    <x v="1"/>
    <x v="1"/>
    <n v="3438"/>
    <x v="0"/>
  </r>
  <r>
    <n v="455"/>
    <n v="45"/>
    <x v="1"/>
    <x v="3"/>
    <x v="0"/>
    <x v="6"/>
    <n v="17234"/>
    <x v="2"/>
  </r>
  <r>
    <n v="456"/>
    <n v="40"/>
    <x v="0"/>
    <x v="3"/>
    <x v="2"/>
    <x v="0"/>
    <n v="1857"/>
    <x v="2"/>
  </r>
  <r>
    <n v="457"/>
    <n v="37"/>
    <x v="0"/>
    <x v="3"/>
    <x v="2"/>
    <x v="0"/>
    <n v="3351"/>
    <x v="2"/>
  </r>
  <r>
    <n v="458"/>
    <n v="19"/>
    <x v="1"/>
    <x v="0"/>
    <x v="3"/>
    <x v="4"/>
    <n v="24273"/>
    <x v="0"/>
  </r>
  <r>
    <n v="459"/>
    <n v="20"/>
    <x v="1"/>
    <x v="0"/>
    <x v="2"/>
    <x v="6"/>
    <n v="7640"/>
    <x v="0"/>
  </r>
  <r>
    <n v="460"/>
    <n v="29"/>
    <x v="0"/>
    <x v="3"/>
    <x v="3"/>
    <x v="0"/>
    <n v="6852"/>
    <x v="3"/>
  </r>
  <r>
    <n v="461"/>
    <n v="51"/>
    <x v="0"/>
    <x v="1"/>
    <x v="3"/>
    <x v="0"/>
    <n v="7639"/>
    <x v="1"/>
  </r>
  <r>
    <n v="462"/>
    <n v="52"/>
    <x v="0"/>
    <x v="3"/>
    <x v="2"/>
    <x v="3"/>
    <n v="4895"/>
    <x v="1"/>
  </r>
  <r>
    <n v="463"/>
    <n v="38"/>
    <x v="1"/>
    <x v="4"/>
    <x v="0"/>
    <x v="0"/>
    <n v="8121"/>
    <x v="2"/>
  </r>
  <r>
    <n v="464"/>
    <n v="33"/>
    <x v="1"/>
    <x v="3"/>
    <x v="0"/>
    <x v="3"/>
    <n v="5052"/>
    <x v="3"/>
  </r>
  <r>
    <n v="465"/>
    <n v="51"/>
    <x v="1"/>
    <x v="3"/>
    <x v="0"/>
    <x v="1"/>
    <n v="6543"/>
    <x v="1"/>
  </r>
  <r>
    <n v="466"/>
    <n v="52"/>
    <x v="1"/>
    <x v="2"/>
    <x v="3"/>
    <x v="3"/>
    <n v="2824"/>
    <x v="1"/>
  </r>
  <r>
    <n v="467"/>
    <n v="25"/>
    <x v="1"/>
    <x v="0"/>
    <x v="2"/>
    <x v="3"/>
    <n v="4518"/>
    <x v="0"/>
  </r>
  <r>
    <n v="468"/>
    <n v="34"/>
    <x v="1"/>
    <x v="3"/>
    <x v="1"/>
    <x v="1"/>
    <n v="908"/>
    <x v="3"/>
  </r>
  <r>
    <n v="469"/>
    <n v="23"/>
    <x v="0"/>
    <x v="0"/>
    <x v="3"/>
    <x v="3"/>
    <n v="6204"/>
    <x v="0"/>
  </r>
  <r>
    <n v="470"/>
    <n v="38"/>
    <x v="1"/>
    <x v="3"/>
    <x v="3"/>
    <x v="3"/>
    <n v="4300"/>
    <x v="2"/>
  </r>
  <r>
    <n v="471"/>
    <n v="23"/>
    <x v="1"/>
    <x v="4"/>
    <x v="1"/>
    <x v="6"/>
    <n v="13125"/>
    <x v="0"/>
  </r>
  <r>
    <n v="472"/>
    <n v="44"/>
    <x v="1"/>
    <x v="4"/>
    <x v="3"/>
    <x v="4"/>
    <n v="21970"/>
    <x v="2"/>
  </r>
  <r>
    <n v="473"/>
    <n v="37"/>
    <x v="1"/>
    <x v="3"/>
    <x v="0"/>
    <x v="1"/>
    <n v="6881"/>
    <x v="2"/>
  </r>
  <r>
    <n v="474"/>
    <n v="52"/>
    <x v="1"/>
    <x v="3"/>
    <x v="0"/>
    <x v="1"/>
    <n v="5848"/>
    <x v="1"/>
  </r>
  <r>
    <n v="475"/>
    <n v="51"/>
    <x v="1"/>
    <x v="3"/>
    <x v="3"/>
    <x v="0"/>
    <n v="5562"/>
    <x v="1"/>
  </r>
  <r>
    <n v="476"/>
    <n v="37"/>
    <x v="1"/>
    <x v="3"/>
    <x v="0"/>
    <x v="0"/>
    <n v="8081"/>
    <x v="2"/>
  </r>
  <r>
    <n v="477"/>
    <n v="25"/>
    <x v="1"/>
    <x v="3"/>
    <x v="1"/>
    <x v="2"/>
    <n v="11884"/>
    <x v="0"/>
  </r>
  <r>
    <n v="478"/>
    <n v="18"/>
    <x v="0"/>
    <x v="0"/>
    <x v="0"/>
    <x v="0"/>
    <n v="4261"/>
    <x v="0"/>
  </r>
  <r>
    <n v="479"/>
    <n v="46"/>
    <x v="1"/>
    <x v="3"/>
    <x v="1"/>
    <x v="1"/>
    <n v="6284"/>
    <x v="1"/>
  </r>
  <r>
    <n v="480"/>
    <n v="46"/>
    <x v="1"/>
    <x v="4"/>
    <x v="2"/>
    <x v="3"/>
    <n v="6813"/>
    <x v="1"/>
  </r>
  <r>
    <n v="481"/>
    <n v="21"/>
    <x v="1"/>
    <x v="0"/>
    <x v="1"/>
    <x v="5"/>
    <n v="6731"/>
    <x v="0"/>
  </r>
  <r>
    <n v="482"/>
    <n v="22"/>
    <x v="1"/>
    <x v="0"/>
    <x v="2"/>
    <x v="0"/>
    <n v="1699"/>
    <x v="0"/>
  </r>
  <r>
    <n v="483"/>
    <n v="56"/>
    <x v="0"/>
    <x v="2"/>
    <x v="2"/>
    <x v="1"/>
    <n v="5379"/>
    <x v="1"/>
  </r>
  <r>
    <n v="484"/>
    <n v="23"/>
    <x v="1"/>
    <x v="0"/>
    <x v="2"/>
    <x v="4"/>
    <n v="16747"/>
    <x v="0"/>
  </r>
  <r>
    <n v="485"/>
    <n v="25"/>
    <x v="0"/>
    <x v="0"/>
    <x v="2"/>
    <x v="0"/>
    <n v="2354"/>
    <x v="0"/>
  </r>
  <r>
    <n v="486"/>
    <n v="40"/>
    <x v="1"/>
    <x v="3"/>
    <x v="1"/>
    <x v="2"/>
    <n v="5796"/>
    <x v="2"/>
  </r>
  <r>
    <n v="487"/>
    <n v="19"/>
    <x v="1"/>
    <x v="0"/>
    <x v="1"/>
    <x v="3"/>
    <n v="4044"/>
    <x v="0"/>
  </r>
  <r>
    <n v="488"/>
    <n v="31"/>
    <x v="1"/>
    <x v="1"/>
    <x v="1"/>
    <x v="1"/>
    <n v="907"/>
    <x v="3"/>
  </r>
  <r>
    <n v="489"/>
    <n v="18"/>
    <x v="0"/>
    <x v="0"/>
    <x v="1"/>
    <x v="4"/>
    <n v="24745"/>
    <x v="0"/>
  </r>
  <r>
    <n v="490"/>
    <n v="25"/>
    <x v="0"/>
    <x v="0"/>
    <x v="1"/>
    <x v="0"/>
    <n v="4403"/>
    <x v="0"/>
  </r>
  <r>
    <n v="491"/>
    <n v="23"/>
    <x v="0"/>
    <x v="3"/>
    <x v="0"/>
    <x v="2"/>
    <n v="11045"/>
    <x v="0"/>
  </r>
  <r>
    <n v="492"/>
    <n v="60"/>
    <x v="1"/>
    <x v="2"/>
    <x v="3"/>
    <x v="1"/>
    <n v="1817"/>
    <x v="1"/>
  </r>
  <r>
    <n v="493"/>
    <n v="44"/>
    <x v="0"/>
    <x v="4"/>
    <x v="2"/>
    <x v="0"/>
    <n v="3781"/>
    <x v="2"/>
  </r>
  <r>
    <n v="494"/>
    <n v="49"/>
    <x v="0"/>
    <x v="3"/>
    <x v="1"/>
    <x v="1"/>
    <n v="2305"/>
    <x v="1"/>
  </r>
  <r>
    <n v="495"/>
    <n v="35"/>
    <x v="0"/>
    <x v="1"/>
    <x v="2"/>
    <x v="0"/>
    <n v="3448"/>
    <x v="3"/>
  </r>
  <r>
    <n v="496"/>
    <n v="40"/>
    <x v="0"/>
    <x v="2"/>
    <x v="1"/>
    <x v="6"/>
    <n v="5771"/>
    <x v="2"/>
  </r>
  <r>
    <n v="497"/>
    <n v="38"/>
    <x v="0"/>
    <x v="3"/>
    <x v="3"/>
    <x v="3"/>
    <n v="5962"/>
    <x v="2"/>
  </r>
  <r>
    <n v="498"/>
    <n v="25"/>
    <x v="1"/>
    <x v="0"/>
    <x v="0"/>
    <x v="4"/>
    <n v="19586"/>
    <x v="0"/>
  </r>
  <r>
    <n v="499"/>
    <n v="39"/>
    <x v="0"/>
    <x v="3"/>
    <x v="1"/>
    <x v="0"/>
    <n v="7603"/>
    <x v="2"/>
  </r>
  <r>
    <n v="500"/>
    <n v="41"/>
    <x v="0"/>
    <x v="3"/>
    <x v="2"/>
    <x v="2"/>
    <n v="904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A2594-20EF-454F-B622-2A6B3D2EE0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13" firstHeaderRow="1" firstDataRow="1" firstDataCol="1"/>
  <pivotFields count="7"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0"/>
        <item x="5"/>
        <item x="6"/>
        <item x="2"/>
        <item x="1"/>
        <item t="default"/>
      </items>
    </pivotField>
    <pivotField dataField="1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6" baseField="0" baseItem="0"/>
  </dataFields>
  <formats count="21">
    <format dxfId="133">
      <pivotArea collapsedLevelsAreSubtotals="1" fieldPosition="0">
        <references count="1">
          <reference field="5" count="1">
            <x v="0"/>
          </reference>
        </references>
      </pivotArea>
    </format>
    <format dxfId="132">
      <pivotArea dataOnly="0" labelOnly="1" fieldPosition="0">
        <references count="1">
          <reference field="5" count="1">
            <x v="0"/>
          </reference>
        </references>
      </pivotArea>
    </format>
    <format dxfId="131">
      <pivotArea field="5" type="button" dataOnly="0" labelOnly="1" outline="0" axis="axisRow" fieldPosition="0"/>
    </format>
    <format dxfId="130">
      <pivotArea dataOnly="0" labelOnly="1" outline="0" axis="axisValues" fieldPosition="0"/>
    </format>
    <format dxfId="129">
      <pivotArea field="5" type="button" dataOnly="0" labelOnly="1" outline="0" axis="axisRow" fieldPosition="0"/>
    </format>
    <format dxfId="128">
      <pivotArea dataOnly="0" labelOnly="1" outline="0" axis="axisValues" fieldPosition="0"/>
    </format>
    <format dxfId="127">
      <pivotArea outline="0" collapsedLevelsAreSubtotals="1" fieldPosition="0"/>
    </format>
    <format dxfId="126">
      <pivotArea dataOnly="0" labelOnly="1" fieldPosition="0">
        <references count="1">
          <reference field="5" count="0"/>
        </references>
      </pivotArea>
    </format>
    <format dxfId="125">
      <pivotArea dataOnly="0" labelOnly="1" grandRow="1" outline="0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5" type="button" dataOnly="0" labelOnly="1" outline="0" axis="axisRow" fieldPosition="0"/>
    </format>
    <format dxfId="114">
      <pivotArea dataOnly="0" labelOnly="1" fieldPosition="0">
        <references count="1">
          <reference field="5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5" type="button" dataOnly="0" labelOnly="1" outline="0" axis="axisRow" fieldPosition="0"/>
    </format>
    <format dxfId="30">
      <pivotArea dataOnly="0" labelOnly="1" fieldPosition="0">
        <references count="1">
          <reference field="5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DB400-3EDE-48D0-9182-4E21EE412F9F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:S11" firstHeaderRow="1" firstDataRow="2" firstDataCol="1"/>
  <pivotFields count="8">
    <pivotField showAll="0"/>
    <pivotField showAll="0"/>
    <pivotField showAll="0"/>
    <pivotField showAll="0"/>
    <pivotField showAll="0"/>
    <pivotField axis="axisCol" showAll="0">
      <items count="8">
        <item x="4"/>
        <item x="3"/>
        <item x="0"/>
        <item x="5"/>
        <item x="6"/>
        <item x="2"/>
        <item x="1"/>
        <item t="default"/>
      </items>
    </pivotField>
    <pivotField dataField="1" showAll="0"/>
    <pivotField axis="axisRow" showAll="0">
      <items count="5">
        <item x="0"/>
        <item x="3"/>
        <item x="2"/>
        <item x="1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Amount" fld="6" baseField="0" baseItem="0"/>
  </dataFields>
  <formats count="47">
    <format dxfId="111">
      <pivotArea type="all" dataOnly="0" outline="0" fieldPosition="0"/>
    </format>
    <format dxfId="110">
      <pivotArea outline="0" collapsedLevelsAreSubtotals="1" fieldPosition="0"/>
    </format>
    <format dxfId="109">
      <pivotArea type="origin" dataOnly="0" labelOnly="1" outline="0" fieldPosition="0"/>
    </format>
    <format dxfId="108">
      <pivotArea field="5" type="button" dataOnly="0" labelOnly="1" outline="0" axis="axisCol" fieldPosition="0"/>
    </format>
    <format dxfId="107">
      <pivotArea type="topRight" dataOnly="0" labelOnly="1" outline="0" fieldPosition="0"/>
    </format>
    <format dxfId="106">
      <pivotArea field="7" type="button" dataOnly="0" labelOnly="1" outline="0" axis="axisRow" fieldPosition="0"/>
    </format>
    <format dxfId="105">
      <pivotArea dataOnly="0" labelOnly="1" fieldPosition="0">
        <references count="1">
          <reference field="7" count="0"/>
        </references>
      </pivotArea>
    </format>
    <format dxfId="104">
      <pivotArea dataOnly="0" labelOnly="1" grandRow="1" outline="0" fieldPosition="0"/>
    </format>
    <format dxfId="103">
      <pivotArea dataOnly="0" labelOnly="1" fieldPosition="0">
        <references count="1">
          <reference field="5" count="0"/>
        </references>
      </pivotArea>
    </format>
    <format dxfId="102">
      <pivotArea dataOnly="0" labelOnly="1" grandCol="1" outline="0" fieldPosition="0"/>
    </format>
    <format dxfId="64">
      <pivotArea type="origin" dataOnly="0" labelOnly="1" outline="0" fieldPosition="0"/>
    </format>
    <format dxfId="63">
      <pivotArea field="5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7" type="button" dataOnly="0" labelOnly="1" outline="0" axis="axisRow" fieldPosition="0"/>
    </format>
    <format dxfId="60">
      <pivotArea dataOnly="0" labelOnly="1" fieldPosition="0">
        <references count="1">
          <reference field="5" count="0"/>
        </references>
      </pivotArea>
    </format>
    <format dxfId="59">
      <pivotArea dataOnly="0" labelOnly="1" grandCol="1" outline="0" fieldPosition="0"/>
    </format>
    <format dxfId="58">
      <pivotArea type="origin" dataOnly="0" labelOnly="1" outline="0" fieldPosition="0"/>
    </format>
    <format dxfId="57">
      <pivotArea field="5" type="button" dataOnly="0" labelOnly="1" outline="0" axis="axisCol" fieldPosition="0"/>
    </format>
    <format dxfId="56">
      <pivotArea type="topRight" dataOnly="0" labelOnly="1" outline="0" fieldPosition="0"/>
    </format>
    <format dxfId="55">
      <pivotArea field="7" type="button" dataOnly="0" labelOnly="1" outline="0" axis="axisRow" fieldPosition="0"/>
    </format>
    <format dxfId="54">
      <pivotArea dataOnly="0" labelOnly="1" fieldPosition="0">
        <references count="1">
          <reference field="5" count="0"/>
        </references>
      </pivotArea>
    </format>
    <format dxfId="53">
      <pivotArea dataOnly="0" labelOnly="1" grandCol="1" outline="0" fieldPosition="0"/>
    </format>
    <format dxfId="52">
      <pivotArea type="origin" dataOnly="0" labelOnly="1" outline="0" fieldPosition="0"/>
    </format>
    <format dxfId="51">
      <pivotArea field="5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7" type="button" dataOnly="0" labelOnly="1" outline="0" axis="axisRow" fieldPosition="0"/>
    </format>
    <format dxfId="48">
      <pivotArea dataOnly="0" labelOnly="1" fieldPosition="0">
        <references count="1">
          <reference field="5" count="0"/>
        </references>
      </pivotArea>
    </format>
    <format dxfId="47">
      <pivotArea dataOnly="0" labelOnly="1" grandCol="1" outline="0" fieldPosition="0"/>
    </format>
    <format dxfId="46">
      <pivotArea outline="0" collapsedLevelsAreSubtotals="1" fieldPosition="0"/>
    </format>
    <format dxfId="45">
      <pivotArea dataOnly="0" labelOnly="1" fieldPosition="0">
        <references count="1">
          <reference field="7" count="0"/>
        </references>
      </pivotArea>
    </format>
    <format dxfId="44">
      <pivotArea dataOnly="0" labelOnly="1" grandRow="1" outline="0" fieldPosition="0"/>
    </format>
    <format dxfId="43">
      <pivotArea outline="0" collapsedLevelsAreSubtotals="1" fieldPosition="0"/>
    </format>
    <format dxfId="42">
      <pivotArea dataOnly="0" labelOnly="1" fieldPosition="0">
        <references count="1">
          <reference field="7" count="0"/>
        </references>
      </pivotArea>
    </format>
    <format dxfId="41">
      <pivotArea dataOnly="0" labelOnly="1" grandRow="1" outline="0" fieldPosition="0"/>
    </format>
    <format dxfId="40">
      <pivotArea outline="0" collapsedLevelsAreSubtotals="1" fieldPosition="0"/>
    </format>
    <format dxfId="39">
      <pivotArea dataOnly="0" labelOnly="1" fieldPosition="0">
        <references count="1">
          <reference field="7" count="0"/>
        </references>
      </pivotArea>
    </format>
    <format dxfId="38">
      <pivotArea dataOnly="0" labelOnly="1" grandRow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5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7" type="button" dataOnly="0" labelOnly="1" outline="0" axis="axisRow" fieldPosition="0"/>
    </format>
    <format dxfId="21">
      <pivotArea dataOnly="0" labelOnly="1" fieldPosition="0">
        <references count="1">
          <reference field="7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5" count="0"/>
        </references>
      </pivotArea>
    </format>
    <format dxfId="1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10A1B-9471-428B-B5E9-AD9E4891DB70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7:H22" firstHeaderRow="1" firstDataRow="1" firstDataCol="1"/>
  <pivotFields count="8">
    <pivotField showAll="0"/>
    <pivotField showAll="0"/>
    <pivotField showAll="0"/>
    <pivotField showAll="0"/>
    <pivotField showAll="0"/>
    <pivotField showAll="0">
      <items count="8">
        <item x="4"/>
        <item x="3"/>
        <item x="0"/>
        <item x="5"/>
        <item x="6"/>
        <item x="2"/>
        <item x="1"/>
        <item t="default"/>
      </items>
    </pivotField>
    <pivotField dataField="1" showAll="0"/>
    <pivotField axis="axisRow" showAll="0">
      <items count="5">
        <item x="0"/>
        <item x="3"/>
        <item x="2"/>
        <item x="1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6" baseField="0" baseItem="0"/>
  </dataFields>
  <formats count="26">
    <format dxfId="135">
      <pivotArea collapsedLevelsAreSubtotals="1" fieldPosition="0">
        <references count="1">
          <reference field="7" count="1">
            <x v="0"/>
          </reference>
        </references>
      </pivotArea>
    </format>
    <format dxfId="134">
      <pivotArea dataOnly="0" labelOnly="1" fieldPosition="0">
        <references count="1">
          <reference field="7" count="1">
            <x v="0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7" type="button" dataOnly="0" labelOnly="1" outline="0" axis="axisRow" fieldPosition="0"/>
    </format>
    <format dxfId="98">
      <pivotArea dataOnly="0" labelOnly="1" fieldPosition="0">
        <references count="1">
          <reference field="7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76">
      <pivotArea field="7" type="button" dataOnly="0" labelOnly="1" outline="0" axis="axisRow" fieldPosition="0"/>
    </format>
    <format dxfId="75">
      <pivotArea dataOnly="0" labelOnly="1" outline="0" axis="axisValues" fieldPosition="0"/>
    </format>
    <format dxfId="74">
      <pivotArea dataOnly="0" labelOnly="1" outline="0" axis="axisValues" fieldPosition="0"/>
    </format>
    <format dxfId="73">
      <pivotArea field="7" type="button" dataOnly="0" labelOnly="1" outline="0" axis="axisRow" fieldPosition="0"/>
    </format>
    <format dxfId="72">
      <pivotArea dataOnly="0" labelOnly="1" outline="0" axis="axisValues" fieldPosition="0"/>
    </format>
    <format dxfId="71">
      <pivotArea dataOnly="0" labelOnly="1" outline="0" axis="axisValues" fieldPosition="0"/>
    </format>
    <format dxfId="70">
      <pivotArea field="7" type="button" dataOnly="0" labelOnly="1" outline="0" axis="axisRow" fieldPosition="0"/>
    </format>
    <format dxfId="69">
      <pivotArea dataOnly="0" labelOnly="1" outline="0" axis="axisValues" fieldPosition="0"/>
    </format>
    <format dxfId="68">
      <pivotArea dataOnly="0" labelOnly="1" outline="0" axis="axisValues" fieldPosition="0"/>
    </format>
    <format dxfId="67">
      <pivotArea outline="0" collapsedLevelsAreSubtotals="1" fieldPosition="0"/>
    </format>
    <format dxfId="66">
      <pivotArea dataOnly="0" labelOnly="1" fieldPosition="0">
        <references count="1">
          <reference field="7" count="0"/>
        </references>
      </pivotArea>
    </format>
    <format dxfId="65">
      <pivotArea dataOnly="0" labelOnly="1" grandRow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7" type="button" dataOnly="0" labelOnly="1" outline="0" axis="axisRow" fieldPosition="0"/>
    </format>
    <format dxfId="14">
      <pivotArea dataOnly="0" labelOnly="1" fieldPosition="0">
        <references count="1">
          <reference field="7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1477E-4F00-412B-993B-81844545BA3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:H10" firstHeaderRow="1" firstDataRow="1" firstDataCol="1"/>
  <pivotFields count="7">
    <pivotField showAll="0"/>
    <pivotField showAll="0"/>
    <pivotField showAll="0"/>
    <pivotField showAll="0">
      <items count="6">
        <item x="2"/>
        <item x="3"/>
        <item x="4"/>
        <item x="1"/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>
      <items count="8">
        <item x="4"/>
        <item x="3"/>
        <item x="0"/>
        <item x="5"/>
        <item x="6"/>
        <item x="2"/>
        <item x="1"/>
        <item t="default"/>
      </items>
    </pivotField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6" baseField="0" baseItem="0"/>
  </dataFields>
  <formats count="19">
    <format dxfId="82">
      <pivotArea collapsedLevelsAreSubtotals="1" fieldPosition="0">
        <references count="1">
          <reference field="4" count="1">
            <x v="0"/>
          </reference>
        </references>
      </pivotArea>
    </format>
    <format dxfId="83">
      <pivotArea dataOnly="0" labelOnly="1" fieldPosition="0">
        <references count="1">
          <reference field="4" count="1">
            <x v="0"/>
          </reference>
        </references>
      </pivotArea>
    </format>
    <format dxfId="84">
      <pivotArea type="all" dataOnly="0" outline="0" fieldPosition="0"/>
    </format>
    <format dxfId="85">
      <pivotArea outline="0" collapsedLevelsAreSubtotals="1" fieldPosition="0"/>
    </format>
    <format dxfId="86">
      <pivotArea field="4" type="button" dataOnly="0" labelOnly="1" outline="0" axis="axisRow" fieldPosition="0"/>
    </format>
    <format dxfId="87">
      <pivotArea dataOnly="0" labelOnly="1" fieldPosition="0">
        <references count="1">
          <reference field="4" count="0"/>
        </references>
      </pivotArea>
    </format>
    <format dxfId="88">
      <pivotArea dataOnly="0" labelOnly="1" grandRow="1" outline="0" fieldPosition="0"/>
    </format>
    <format dxfId="89">
      <pivotArea dataOnly="0" labelOnly="1" outline="0" axis="axisValues" fieldPosition="0"/>
    </format>
    <format dxfId="81">
      <pivotArea field="4" type="button" dataOnly="0" labelOnly="1" outline="0" axis="axisRow" fieldPosition="0"/>
    </format>
    <format dxfId="80">
      <pivotArea dataOnly="0" labelOnly="1" outline="0" axis="axisValues" fieldPosition="0"/>
    </format>
    <format dxfId="79">
      <pivotArea outline="0" collapsedLevelsAreSubtotals="1" fieldPosition="0"/>
    </format>
    <format dxfId="78">
      <pivotArea dataOnly="0" labelOnly="1" fieldPosition="0">
        <references count="1">
          <reference field="4" count="0"/>
        </references>
      </pivotArea>
    </format>
    <format dxfId="77">
      <pivotArea dataOnly="0" labelOnly="1" grandRow="1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4" type="button" dataOnly="0" labelOnly="1" outline="0" axis="axisRow" fieldPosition="0"/>
    </format>
    <format dxfId="8">
      <pivotArea dataOnly="0" labelOnly="1" fieldPosition="0">
        <references count="1">
          <reference field="4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503D1-C6AD-41BC-97CA-0CD8818FED9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:C23" firstHeaderRow="1" firstDataRow="1" firstDataCol="1"/>
  <pivotFields count="7"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>
      <items count="8">
        <item x="4"/>
        <item x="3"/>
        <item x="0"/>
        <item x="5"/>
        <item x="6"/>
        <item x="2"/>
        <item x="1"/>
        <item t="default"/>
      </items>
    </pivotField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6" baseField="0" baseItem="0"/>
  </dataFields>
  <formats count="23">
    <format dxfId="139">
      <pivotArea collapsedLevelsAreSubtotals="1" fieldPosition="0">
        <references count="1">
          <reference field="3" count="1">
            <x v="1"/>
          </reference>
        </references>
      </pivotArea>
    </format>
    <format dxfId="138">
      <pivotArea dataOnly="0" labelOnly="1" fieldPosition="0">
        <references count="1">
          <reference field="3" count="1">
            <x v="1"/>
          </reference>
        </references>
      </pivotArea>
    </format>
    <format dxfId="137">
      <pivotArea collapsedLevelsAreSubtotals="1" fieldPosition="0">
        <references count="1">
          <reference field="3" count="1">
            <x v="1"/>
          </reference>
        </references>
      </pivotArea>
    </format>
    <format dxfId="136">
      <pivotArea dataOnly="0" labelOnly="1" fieldPosition="0">
        <references count="1">
          <reference field="3" count="1">
            <x v="1"/>
          </reference>
        </references>
      </pivotArea>
    </format>
    <format dxfId="124">
      <pivotArea field="3" type="button" dataOnly="0" labelOnly="1" outline="0" axis="axisRow" fieldPosition="0"/>
    </format>
    <format dxfId="123">
      <pivotArea dataOnly="0" labelOnly="1" outline="0" axis="axisValues" fieldPosition="0"/>
    </format>
    <format dxfId="122">
      <pivotArea field="3" type="button" dataOnly="0" labelOnly="1" outline="0" axis="axisRow" fieldPosition="0"/>
    </format>
    <format dxfId="121">
      <pivotArea dataOnly="0" labelOnly="1" outline="0" axis="axisValues" fieldPosition="0"/>
    </format>
    <format dxfId="120">
      <pivotArea outline="0" collapsedLevelsAreSubtotals="1" fieldPosition="0"/>
    </format>
    <format dxfId="119">
      <pivotArea dataOnly="0" labelOnly="1" fieldPosition="0">
        <references count="1">
          <reference field="3" count="0"/>
        </references>
      </pivotArea>
    </format>
    <format dxfId="118">
      <pivotArea dataOnly="0" labelOnly="1" grandRow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3" type="button" dataOnly="0" labelOnly="1" outline="0" axis="axisRow" fieldPosition="0"/>
    </format>
    <format dxfId="92">
      <pivotArea dataOnly="0" labelOnly="1" fieldPosition="0">
        <references count="1">
          <reference field="3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73C0B-D228-4979-9F22-089BCD762CBC}" name="Table1" displayName="Table1" ref="U5:V12" totalsRowShown="0" headerRowDxfId="35" dataDxfId="34">
  <autoFilter ref="U5:V12" xr:uid="{8CD73C0B-D228-4979-9F22-089BCD762CBC}"/>
  <tableColumns count="2">
    <tableColumn id="1" xr3:uid="{FE7A8D2D-81B5-4E97-9CBB-6B389066CCDD}" name="CAT." dataDxfId="37"/>
    <tableColumn id="2" xr3:uid="{3D3CC24E-CEA7-4D93-9F61-13177ED92B19}" name="AMT." dataDxfId="3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4"/>
  <sheetViews>
    <sheetView showGridLines="0" tabSelected="1" topLeftCell="A3" workbookViewId="0">
      <selection activeCell="N392" sqref="N392"/>
    </sheetView>
  </sheetViews>
  <sheetFormatPr defaultRowHeight="14.4" x14ac:dyDescent="0.3"/>
  <sheetData>
    <row r="1" spans="1:8" x14ac:dyDescent="0.3">
      <c r="A1" s="46" t="s">
        <v>66</v>
      </c>
      <c r="B1" s="47"/>
      <c r="C1" s="47"/>
      <c r="D1" s="47"/>
      <c r="E1" s="47"/>
      <c r="F1" s="47"/>
      <c r="G1" s="47"/>
      <c r="H1" s="47"/>
    </row>
    <row r="2" spans="1:8" x14ac:dyDescent="0.3">
      <c r="A2" s="47"/>
      <c r="B2" s="47"/>
      <c r="C2" s="47"/>
      <c r="D2" s="47"/>
      <c r="E2" s="47"/>
      <c r="F2" s="47"/>
      <c r="G2" s="47"/>
      <c r="H2" s="47"/>
    </row>
    <row r="3" spans="1:8" x14ac:dyDescent="0.3">
      <c r="A3" s="47"/>
      <c r="B3" s="47"/>
      <c r="C3" s="47"/>
      <c r="D3" s="47"/>
      <c r="E3" s="47"/>
      <c r="F3" s="47"/>
      <c r="G3" s="47"/>
      <c r="H3" s="47"/>
    </row>
    <row r="4" spans="1:8" x14ac:dyDescent="0.3">
      <c r="A4" s="39" t="s">
        <v>0</v>
      </c>
      <c r="B4" s="39" t="s">
        <v>1</v>
      </c>
      <c r="C4" s="39" t="s">
        <v>2</v>
      </c>
      <c r="D4" s="39" t="s">
        <v>3</v>
      </c>
      <c r="E4" s="39" t="s">
        <v>4</v>
      </c>
      <c r="F4" s="39" t="s">
        <v>5</v>
      </c>
      <c r="G4" s="39" t="s">
        <v>6</v>
      </c>
      <c r="H4" s="39" t="s">
        <v>33</v>
      </c>
    </row>
    <row r="5" spans="1:8" x14ac:dyDescent="0.3">
      <c r="A5" s="41">
        <v>1</v>
      </c>
      <c r="B5" s="41">
        <v>23</v>
      </c>
      <c r="C5" s="41" t="s">
        <v>7</v>
      </c>
      <c r="D5" s="41" t="s">
        <v>8</v>
      </c>
      <c r="E5" s="41" t="s">
        <v>9</v>
      </c>
      <c r="F5" s="41" t="s">
        <v>10</v>
      </c>
      <c r="G5" s="41">
        <v>8882</v>
      </c>
      <c r="H5" s="41" t="str">
        <f>IF(B5&lt;=25,"18-25",IF(B5&lt;=35,"26-35",IF(B5&lt;=45,"36-45","46-60")))</f>
        <v>18-25</v>
      </c>
    </row>
    <row r="6" spans="1:8" x14ac:dyDescent="0.3">
      <c r="A6" s="41">
        <v>2</v>
      </c>
      <c r="B6" s="41">
        <v>49</v>
      </c>
      <c r="C6" s="41" t="s">
        <v>7</v>
      </c>
      <c r="D6" s="41" t="s">
        <v>11</v>
      </c>
      <c r="E6" s="41" t="s">
        <v>9</v>
      </c>
      <c r="F6" s="41" t="s">
        <v>12</v>
      </c>
      <c r="G6" s="41">
        <v>2107</v>
      </c>
      <c r="H6" s="41" t="str">
        <f t="shared" ref="H6:H69" si="0">IF(B6&lt;=25,"18-25",IF(B6&lt;=35,"26-35",IF(B6&lt;=45,"36-45","46-60")))</f>
        <v>46-60</v>
      </c>
    </row>
    <row r="7" spans="1:8" x14ac:dyDescent="0.3">
      <c r="A7" s="41">
        <v>3</v>
      </c>
      <c r="B7" s="41">
        <v>23</v>
      </c>
      <c r="C7" s="41" t="s">
        <v>13</v>
      </c>
      <c r="D7" s="41" t="s">
        <v>8</v>
      </c>
      <c r="E7" s="41" t="s">
        <v>14</v>
      </c>
      <c r="F7" s="41" t="s">
        <v>10</v>
      </c>
      <c r="G7" s="41">
        <v>5073</v>
      </c>
      <c r="H7" s="41" t="str">
        <f t="shared" si="0"/>
        <v>18-25</v>
      </c>
    </row>
    <row r="8" spans="1:8" x14ac:dyDescent="0.3">
      <c r="A8" s="41">
        <v>4</v>
      </c>
      <c r="B8" s="41">
        <v>49</v>
      </c>
      <c r="C8" s="41" t="s">
        <v>13</v>
      </c>
      <c r="D8" s="41" t="s">
        <v>15</v>
      </c>
      <c r="E8" s="41" t="s">
        <v>16</v>
      </c>
      <c r="F8" s="41" t="s">
        <v>17</v>
      </c>
      <c r="G8" s="41">
        <v>8345</v>
      </c>
      <c r="H8" s="41" t="str">
        <f t="shared" si="0"/>
        <v>46-60</v>
      </c>
    </row>
    <row r="9" spans="1:8" x14ac:dyDescent="0.3">
      <c r="A9" s="41">
        <v>5</v>
      </c>
      <c r="B9" s="41">
        <v>18</v>
      </c>
      <c r="C9" s="41" t="s">
        <v>13</v>
      </c>
      <c r="D9" s="41" t="s">
        <v>8</v>
      </c>
      <c r="E9" s="41" t="s">
        <v>14</v>
      </c>
      <c r="F9" s="41" t="s">
        <v>10</v>
      </c>
      <c r="G9" s="41">
        <v>8926</v>
      </c>
      <c r="H9" s="41" t="str">
        <f t="shared" si="0"/>
        <v>18-25</v>
      </c>
    </row>
    <row r="10" spans="1:8" x14ac:dyDescent="0.3">
      <c r="A10" s="41">
        <v>6</v>
      </c>
      <c r="B10" s="41">
        <v>24</v>
      </c>
      <c r="C10" s="41" t="s">
        <v>7</v>
      </c>
      <c r="D10" s="41" t="s">
        <v>8</v>
      </c>
      <c r="E10" s="41" t="s">
        <v>9</v>
      </c>
      <c r="F10" s="41" t="s">
        <v>18</v>
      </c>
      <c r="G10" s="41">
        <v>801</v>
      </c>
      <c r="H10" s="41" t="str">
        <f t="shared" si="0"/>
        <v>18-25</v>
      </c>
    </row>
    <row r="11" spans="1:8" x14ac:dyDescent="0.3">
      <c r="A11" s="41">
        <v>7</v>
      </c>
      <c r="B11" s="41">
        <v>46</v>
      </c>
      <c r="C11" s="41" t="s">
        <v>7</v>
      </c>
      <c r="D11" s="41" t="s">
        <v>15</v>
      </c>
      <c r="E11" s="41" t="s">
        <v>14</v>
      </c>
      <c r="F11" s="41" t="s">
        <v>19</v>
      </c>
      <c r="G11" s="41">
        <v>23930</v>
      </c>
      <c r="H11" s="41" t="str">
        <f t="shared" si="0"/>
        <v>46-60</v>
      </c>
    </row>
    <row r="12" spans="1:8" x14ac:dyDescent="0.3">
      <c r="A12" s="41">
        <v>8</v>
      </c>
      <c r="B12" s="41">
        <v>42</v>
      </c>
      <c r="C12" s="41" t="s">
        <v>13</v>
      </c>
      <c r="D12" s="41" t="s">
        <v>20</v>
      </c>
      <c r="E12" s="41" t="s">
        <v>21</v>
      </c>
      <c r="F12" s="41" t="s">
        <v>12</v>
      </c>
      <c r="G12" s="41">
        <v>6093</v>
      </c>
      <c r="H12" s="41" t="str">
        <f t="shared" si="0"/>
        <v>36-45</v>
      </c>
    </row>
    <row r="13" spans="1:8" x14ac:dyDescent="0.3">
      <c r="A13" s="41">
        <v>9</v>
      </c>
      <c r="B13" s="41">
        <v>53</v>
      </c>
      <c r="C13" s="41" t="s">
        <v>7</v>
      </c>
      <c r="D13" s="41" t="s">
        <v>20</v>
      </c>
      <c r="E13" s="41" t="s">
        <v>9</v>
      </c>
      <c r="F13" s="41" t="s">
        <v>18</v>
      </c>
      <c r="G13" s="41">
        <v>7441</v>
      </c>
      <c r="H13" s="41" t="str">
        <f t="shared" si="0"/>
        <v>46-60</v>
      </c>
    </row>
    <row r="14" spans="1:8" x14ac:dyDescent="0.3">
      <c r="A14" s="41">
        <v>10</v>
      </c>
      <c r="B14" s="41">
        <v>36</v>
      </c>
      <c r="C14" s="41" t="s">
        <v>13</v>
      </c>
      <c r="D14" s="41" t="s">
        <v>15</v>
      </c>
      <c r="E14" s="41" t="s">
        <v>21</v>
      </c>
      <c r="F14" s="41" t="s">
        <v>18</v>
      </c>
      <c r="G14" s="41">
        <v>1893</v>
      </c>
      <c r="H14" s="41" t="str">
        <f t="shared" si="0"/>
        <v>36-45</v>
      </c>
    </row>
    <row r="15" spans="1:8" x14ac:dyDescent="0.3">
      <c r="A15" s="41">
        <v>11</v>
      </c>
      <c r="B15" s="41">
        <v>47</v>
      </c>
      <c r="C15" s="41" t="s">
        <v>13</v>
      </c>
      <c r="D15" s="41" t="s">
        <v>20</v>
      </c>
      <c r="E15" s="41" t="s">
        <v>21</v>
      </c>
      <c r="F15" s="41" t="s">
        <v>17</v>
      </c>
      <c r="G15" s="41">
        <v>13758</v>
      </c>
      <c r="H15" s="41" t="str">
        <f t="shared" si="0"/>
        <v>46-60</v>
      </c>
    </row>
    <row r="16" spans="1:8" x14ac:dyDescent="0.3">
      <c r="A16" s="41">
        <v>12</v>
      </c>
      <c r="B16" s="41">
        <v>34</v>
      </c>
      <c r="C16" s="41" t="s">
        <v>13</v>
      </c>
      <c r="D16" s="41" t="s">
        <v>20</v>
      </c>
      <c r="E16" s="41" t="s">
        <v>9</v>
      </c>
      <c r="F16" s="41" t="s">
        <v>10</v>
      </c>
      <c r="G16" s="41">
        <v>4382</v>
      </c>
      <c r="H16" s="41" t="str">
        <f t="shared" si="0"/>
        <v>26-35</v>
      </c>
    </row>
    <row r="17" spans="1:8" x14ac:dyDescent="0.3">
      <c r="A17" s="41">
        <v>13</v>
      </c>
      <c r="B17" s="41">
        <v>50</v>
      </c>
      <c r="C17" s="41" t="s">
        <v>13</v>
      </c>
      <c r="D17" s="41" t="s">
        <v>11</v>
      </c>
      <c r="E17" s="41" t="s">
        <v>9</v>
      </c>
      <c r="F17" s="41" t="s">
        <v>12</v>
      </c>
      <c r="G17" s="41">
        <v>5960</v>
      </c>
      <c r="H17" s="41" t="str">
        <f t="shared" si="0"/>
        <v>46-60</v>
      </c>
    </row>
    <row r="18" spans="1:8" x14ac:dyDescent="0.3">
      <c r="A18" s="41">
        <v>14</v>
      </c>
      <c r="B18" s="41">
        <v>38</v>
      </c>
      <c r="C18" s="41" t="s">
        <v>7</v>
      </c>
      <c r="D18" s="41" t="s">
        <v>22</v>
      </c>
      <c r="E18" s="41" t="s">
        <v>14</v>
      </c>
      <c r="F18" s="41" t="s">
        <v>10</v>
      </c>
      <c r="G18" s="41">
        <v>5894</v>
      </c>
      <c r="H18" s="41" t="str">
        <f t="shared" si="0"/>
        <v>36-45</v>
      </c>
    </row>
    <row r="19" spans="1:8" x14ac:dyDescent="0.3">
      <c r="A19" s="41">
        <v>15</v>
      </c>
      <c r="B19" s="41">
        <v>51</v>
      </c>
      <c r="C19" s="41" t="s">
        <v>13</v>
      </c>
      <c r="D19" s="41" t="s">
        <v>20</v>
      </c>
      <c r="E19" s="41" t="s">
        <v>16</v>
      </c>
      <c r="F19" s="41" t="s">
        <v>10</v>
      </c>
      <c r="G19" s="41">
        <v>3082</v>
      </c>
      <c r="H19" s="41" t="str">
        <f t="shared" si="0"/>
        <v>46-60</v>
      </c>
    </row>
    <row r="20" spans="1:8" x14ac:dyDescent="0.3">
      <c r="A20" s="41">
        <v>16</v>
      </c>
      <c r="B20" s="41">
        <v>23</v>
      </c>
      <c r="C20" s="41" t="s">
        <v>7</v>
      </c>
      <c r="D20" s="41" t="s">
        <v>8</v>
      </c>
      <c r="E20" s="41" t="s">
        <v>21</v>
      </c>
      <c r="F20" s="41" t="s">
        <v>23</v>
      </c>
      <c r="G20" s="41">
        <v>1005</v>
      </c>
      <c r="H20" s="41" t="str">
        <f t="shared" si="0"/>
        <v>18-25</v>
      </c>
    </row>
    <row r="21" spans="1:8" x14ac:dyDescent="0.3">
      <c r="A21" s="41">
        <v>17</v>
      </c>
      <c r="B21" s="41">
        <v>19</v>
      </c>
      <c r="C21" s="41" t="s">
        <v>7</v>
      </c>
      <c r="D21" s="41" t="s">
        <v>8</v>
      </c>
      <c r="E21" s="41" t="s">
        <v>16</v>
      </c>
      <c r="F21" s="41" t="s">
        <v>10</v>
      </c>
      <c r="G21" s="41">
        <v>8852</v>
      </c>
      <c r="H21" s="41" t="str">
        <f t="shared" si="0"/>
        <v>18-25</v>
      </c>
    </row>
    <row r="22" spans="1:8" x14ac:dyDescent="0.3">
      <c r="A22" s="41">
        <v>18</v>
      </c>
      <c r="B22" s="41">
        <v>24</v>
      </c>
      <c r="C22" s="41" t="s">
        <v>13</v>
      </c>
      <c r="D22" s="41" t="s">
        <v>8</v>
      </c>
      <c r="E22" s="41" t="s">
        <v>21</v>
      </c>
      <c r="F22" s="41" t="s">
        <v>10</v>
      </c>
      <c r="G22" s="41">
        <v>4141</v>
      </c>
      <c r="H22" s="41" t="str">
        <f t="shared" si="0"/>
        <v>18-25</v>
      </c>
    </row>
    <row r="23" spans="1:8" x14ac:dyDescent="0.3">
      <c r="A23" s="41">
        <v>19</v>
      </c>
      <c r="B23" s="41">
        <v>52</v>
      </c>
      <c r="C23" s="41" t="s">
        <v>13</v>
      </c>
      <c r="D23" s="41" t="s">
        <v>20</v>
      </c>
      <c r="E23" s="41" t="s">
        <v>9</v>
      </c>
      <c r="F23" s="41" t="s">
        <v>24</v>
      </c>
      <c r="G23" s="41">
        <v>2779</v>
      </c>
      <c r="H23" s="41" t="str">
        <f t="shared" si="0"/>
        <v>46-60</v>
      </c>
    </row>
    <row r="24" spans="1:8" x14ac:dyDescent="0.3">
      <c r="A24" s="41">
        <v>20</v>
      </c>
      <c r="B24" s="41">
        <v>26</v>
      </c>
      <c r="C24" s="41" t="s">
        <v>7</v>
      </c>
      <c r="D24" s="41" t="s">
        <v>22</v>
      </c>
      <c r="E24" s="41" t="s">
        <v>16</v>
      </c>
      <c r="F24" s="41" t="s">
        <v>23</v>
      </c>
      <c r="G24" s="41">
        <v>3359</v>
      </c>
      <c r="H24" s="41" t="str">
        <f t="shared" si="0"/>
        <v>26-35</v>
      </c>
    </row>
    <row r="25" spans="1:8" x14ac:dyDescent="0.3">
      <c r="A25" s="41">
        <v>21</v>
      </c>
      <c r="B25" s="41">
        <v>37</v>
      </c>
      <c r="C25" s="41" t="s">
        <v>13</v>
      </c>
      <c r="D25" s="41" t="s">
        <v>20</v>
      </c>
      <c r="E25" s="41" t="s">
        <v>16</v>
      </c>
      <c r="F25" s="41" t="s">
        <v>12</v>
      </c>
      <c r="G25" s="41">
        <v>3972</v>
      </c>
      <c r="H25" s="41" t="str">
        <f t="shared" si="0"/>
        <v>36-45</v>
      </c>
    </row>
    <row r="26" spans="1:8" x14ac:dyDescent="0.3">
      <c r="A26" s="41">
        <v>22</v>
      </c>
      <c r="B26" s="41">
        <v>31</v>
      </c>
      <c r="C26" s="41" t="s">
        <v>7</v>
      </c>
      <c r="D26" s="41" t="s">
        <v>20</v>
      </c>
      <c r="E26" s="41" t="s">
        <v>21</v>
      </c>
      <c r="F26" s="41" t="s">
        <v>17</v>
      </c>
      <c r="G26" s="41">
        <v>9764</v>
      </c>
      <c r="H26" s="41" t="str">
        <f t="shared" si="0"/>
        <v>26-35</v>
      </c>
    </row>
    <row r="27" spans="1:8" x14ac:dyDescent="0.3">
      <c r="A27" s="41">
        <v>23</v>
      </c>
      <c r="B27" s="41">
        <v>58</v>
      </c>
      <c r="C27" s="41" t="s">
        <v>13</v>
      </c>
      <c r="D27" s="41" t="s">
        <v>11</v>
      </c>
      <c r="E27" s="41" t="s">
        <v>14</v>
      </c>
      <c r="F27" s="41" t="s">
        <v>12</v>
      </c>
      <c r="G27" s="41">
        <v>3964</v>
      </c>
      <c r="H27" s="41" t="str">
        <f t="shared" si="0"/>
        <v>46-60</v>
      </c>
    </row>
    <row r="28" spans="1:8" x14ac:dyDescent="0.3">
      <c r="A28" s="41">
        <v>24</v>
      </c>
      <c r="B28" s="41">
        <v>30</v>
      </c>
      <c r="C28" s="41" t="s">
        <v>7</v>
      </c>
      <c r="D28" s="41" t="s">
        <v>20</v>
      </c>
      <c r="E28" s="41" t="s">
        <v>16</v>
      </c>
      <c r="F28" s="41" t="s">
        <v>17</v>
      </c>
      <c r="G28" s="41">
        <v>13098</v>
      </c>
      <c r="H28" s="41" t="str">
        <f t="shared" si="0"/>
        <v>26-35</v>
      </c>
    </row>
    <row r="29" spans="1:8" x14ac:dyDescent="0.3">
      <c r="A29" s="41">
        <v>25</v>
      </c>
      <c r="B29" s="41">
        <v>43</v>
      </c>
      <c r="C29" s="41" t="s">
        <v>7</v>
      </c>
      <c r="D29" s="41" t="s">
        <v>22</v>
      </c>
      <c r="E29" s="41" t="s">
        <v>9</v>
      </c>
      <c r="F29" s="41" t="s">
        <v>24</v>
      </c>
      <c r="G29" s="41">
        <v>2925</v>
      </c>
      <c r="H29" s="41" t="str">
        <f t="shared" si="0"/>
        <v>36-45</v>
      </c>
    </row>
    <row r="30" spans="1:8" x14ac:dyDescent="0.3">
      <c r="A30" s="41">
        <v>26</v>
      </c>
      <c r="B30" s="41">
        <v>23</v>
      </c>
      <c r="C30" s="41" t="s">
        <v>13</v>
      </c>
      <c r="D30" s="41" t="s">
        <v>8</v>
      </c>
      <c r="E30" s="41" t="s">
        <v>9</v>
      </c>
      <c r="F30" s="41" t="s">
        <v>18</v>
      </c>
      <c r="G30" s="41">
        <v>4968</v>
      </c>
      <c r="H30" s="41" t="str">
        <f t="shared" si="0"/>
        <v>18-25</v>
      </c>
    </row>
    <row r="31" spans="1:8" x14ac:dyDescent="0.3">
      <c r="A31" s="41">
        <v>27</v>
      </c>
      <c r="B31" s="41">
        <v>28</v>
      </c>
      <c r="C31" s="41" t="s">
        <v>7</v>
      </c>
      <c r="D31" s="41" t="s">
        <v>22</v>
      </c>
      <c r="E31" s="41" t="s">
        <v>16</v>
      </c>
      <c r="F31" s="41" t="s">
        <v>17</v>
      </c>
      <c r="G31" s="41">
        <v>9295</v>
      </c>
      <c r="H31" s="41" t="str">
        <f t="shared" si="0"/>
        <v>26-35</v>
      </c>
    </row>
    <row r="32" spans="1:8" x14ac:dyDescent="0.3">
      <c r="A32" s="41">
        <v>28</v>
      </c>
      <c r="B32" s="41">
        <v>23</v>
      </c>
      <c r="C32" s="41" t="s">
        <v>7</v>
      </c>
      <c r="D32" s="41" t="s">
        <v>8</v>
      </c>
      <c r="E32" s="41" t="s">
        <v>21</v>
      </c>
      <c r="F32" s="41" t="s">
        <v>10</v>
      </c>
      <c r="G32" s="41">
        <v>5600</v>
      </c>
      <c r="H32" s="41" t="str">
        <f t="shared" si="0"/>
        <v>18-25</v>
      </c>
    </row>
    <row r="33" spans="1:8" x14ac:dyDescent="0.3">
      <c r="A33" s="41">
        <v>29</v>
      </c>
      <c r="B33" s="41">
        <v>21</v>
      </c>
      <c r="C33" s="41" t="s">
        <v>13</v>
      </c>
      <c r="D33" s="41" t="s">
        <v>8</v>
      </c>
      <c r="E33" s="41" t="s">
        <v>16</v>
      </c>
      <c r="F33" s="41" t="s">
        <v>10</v>
      </c>
      <c r="G33" s="41">
        <v>6125</v>
      </c>
      <c r="H33" s="41" t="str">
        <f t="shared" si="0"/>
        <v>18-25</v>
      </c>
    </row>
    <row r="34" spans="1:8" x14ac:dyDescent="0.3">
      <c r="A34" s="41">
        <v>30</v>
      </c>
      <c r="B34" s="41">
        <v>23</v>
      </c>
      <c r="C34" s="41" t="s">
        <v>13</v>
      </c>
      <c r="D34" s="41" t="s">
        <v>8</v>
      </c>
      <c r="E34" s="41" t="s">
        <v>9</v>
      </c>
      <c r="F34" s="41" t="s">
        <v>18</v>
      </c>
      <c r="G34" s="41">
        <v>1593</v>
      </c>
      <c r="H34" s="41" t="str">
        <f t="shared" si="0"/>
        <v>18-25</v>
      </c>
    </row>
    <row r="35" spans="1:8" x14ac:dyDescent="0.3">
      <c r="A35" s="41">
        <v>31</v>
      </c>
      <c r="B35" s="41">
        <v>59</v>
      </c>
      <c r="C35" s="41" t="s">
        <v>13</v>
      </c>
      <c r="D35" s="41" t="s">
        <v>11</v>
      </c>
      <c r="E35" s="41" t="s">
        <v>21</v>
      </c>
      <c r="F35" s="41" t="s">
        <v>24</v>
      </c>
      <c r="G35" s="41">
        <v>15053</v>
      </c>
      <c r="H35" s="41" t="str">
        <f t="shared" si="0"/>
        <v>46-60</v>
      </c>
    </row>
    <row r="36" spans="1:8" x14ac:dyDescent="0.3">
      <c r="A36" s="41">
        <v>32</v>
      </c>
      <c r="B36" s="41">
        <v>41</v>
      </c>
      <c r="C36" s="41" t="s">
        <v>7</v>
      </c>
      <c r="D36" s="41" t="s">
        <v>15</v>
      </c>
      <c r="E36" s="41" t="s">
        <v>9</v>
      </c>
      <c r="F36" s="41" t="s">
        <v>17</v>
      </c>
      <c r="G36" s="41">
        <v>4672</v>
      </c>
      <c r="H36" s="41" t="str">
        <f t="shared" si="0"/>
        <v>36-45</v>
      </c>
    </row>
    <row r="37" spans="1:8" x14ac:dyDescent="0.3">
      <c r="A37" s="41">
        <v>33</v>
      </c>
      <c r="B37" s="41">
        <v>33</v>
      </c>
      <c r="C37" s="41" t="s">
        <v>13</v>
      </c>
      <c r="D37" s="41" t="s">
        <v>15</v>
      </c>
      <c r="E37" s="41" t="s">
        <v>21</v>
      </c>
      <c r="F37" s="41" t="s">
        <v>17</v>
      </c>
      <c r="G37" s="41">
        <v>10578</v>
      </c>
      <c r="H37" s="41" t="str">
        <f t="shared" si="0"/>
        <v>26-35</v>
      </c>
    </row>
    <row r="38" spans="1:8" x14ac:dyDescent="0.3">
      <c r="A38" s="41">
        <v>34</v>
      </c>
      <c r="B38" s="41">
        <v>18</v>
      </c>
      <c r="C38" s="41" t="s">
        <v>7</v>
      </c>
      <c r="D38" s="41" t="s">
        <v>8</v>
      </c>
      <c r="E38" s="41" t="s">
        <v>21</v>
      </c>
      <c r="F38" s="41" t="s">
        <v>24</v>
      </c>
      <c r="G38" s="41">
        <v>15787</v>
      </c>
      <c r="H38" s="41" t="str">
        <f t="shared" si="0"/>
        <v>18-25</v>
      </c>
    </row>
    <row r="39" spans="1:8" x14ac:dyDescent="0.3">
      <c r="A39" s="41">
        <v>35</v>
      </c>
      <c r="B39" s="41">
        <v>35</v>
      </c>
      <c r="C39" s="41" t="s">
        <v>7</v>
      </c>
      <c r="D39" s="41" t="s">
        <v>20</v>
      </c>
      <c r="E39" s="41" t="s">
        <v>9</v>
      </c>
      <c r="F39" s="41" t="s">
        <v>12</v>
      </c>
      <c r="G39" s="41">
        <v>2376</v>
      </c>
      <c r="H39" s="41" t="str">
        <f t="shared" si="0"/>
        <v>26-35</v>
      </c>
    </row>
    <row r="40" spans="1:8" x14ac:dyDescent="0.3">
      <c r="A40" s="41">
        <v>36</v>
      </c>
      <c r="B40" s="41">
        <v>36</v>
      </c>
      <c r="C40" s="41" t="s">
        <v>7</v>
      </c>
      <c r="D40" s="41" t="s">
        <v>15</v>
      </c>
      <c r="E40" s="41" t="s">
        <v>16</v>
      </c>
      <c r="F40" s="41" t="s">
        <v>19</v>
      </c>
      <c r="G40" s="41">
        <v>15298</v>
      </c>
      <c r="H40" s="41" t="str">
        <f t="shared" si="0"/>
        <v>36-45</v>
      </c>
    </row>
    <row r="41" spans="1:8" x14ac:dyDescent="0.3">
      <c r="A41" s="41">
        <v>37</v>
      </c>
      <c r="B41" s="41">
        <v>33</v>
      </c>
      <c r="C41" s="41" t="s">
        <v>7</v>
      </c>
      <c r="D41" s="41" t="s">
        <v>20</v>
      </c>
      <c r="E41" s="41" t="s">
        <v>9</v>
      </c>
      <c r="F41" s="41" t="s">
        <v>10</v>
      </c>
      <c r="G41" s="41">
        <v>3924</v>
      </c>
      <c r="H41" s="41" t="str">
        <f t="shared" si="0"/>
        <v>26-35</v>
      </c>
    </row>
    <row r="42" spans="1:8" x14ac:dyDescent="0.3">
      <c r="A42" s="41">
        <v>38</v>
      </c>
      <c r="B42" s="41">
        <v>22</v>
      </c>
      <c r="C42" s="41" t="s">
        <v>7</v>
      </c>
      <c r="D42" s="41" t="s">
        <v>8</v>
      </c>
      <c r="E42" s="41" t="s">
        <v>16</v>
      </c>
      <c r="F42" s="41" t="s">
        <v>19</v>
      </c>
      <c r="G42" s="41">
        <v>4690</v>
      </c>
      <c r="H42" s="41" t="str">
        <f t="shared" si="0"/>
        <v>18-25</v>
      </c>
    </row>
    <row r="43" spans="1:8" x14ac:dyDescent="0.3">
      <c r="A43" s="41">
        <v>39</v>
      </c>
      <c r="B43" s="41">
        <v>41</v>
      </c>
      <c r="C43" s="41" t="s">
        <v>13</v>
      </c>
      <c r="D43" s="41" t="s">
        <v>20</v>
      </c>
      <c r="E43" s="41" t="s">
        <v>21</v>
      </c>
      <c r="F43" s="41" t="s">
        <v>18</v>
      </c>
      <c r="G43" s="41">
        <v>6286</v>
      </c>
      <c r="H43" s="41" t="str">
        <f t="shared" si="0"/>
        <v>36-45</v>
      </c>
    </row>
    <row r="44" spans="1:8" x14ac:dyDescent="0.3">
      <c r="A44" s="41">
        <v>40</v>
      </c>
      <c r="B44" s="41">
        <v>50</v>
      </c>
      <c r="C44" s="41" t="s">
        <v>7</v>
      </c>
      <c r="D44" s="41" t="s">
        <v>20</v>
      </c>
      <c r="E44" s="41" t="s">
        <v>21</v>
      </c>
      <c r="F44" s="41" t="s">
        <v>18</v>
      </c>
      <c r="G44" s="41">
        <v>3318</v>
      </c>
      <c r="H44" s="41" t="str">
        <f t="shared" si="0"/>
        <v>46-60</v>
      </c>
    </row>
    <row r="45" spans="1:8" x14ac:dyDescent="0.3">
      <c r="A45" s="41">
        <v>41</v>
      </c>
      <c r="B45" s="41">
        <v>25</v>
      </c>
      <c r="C45" s="41" t="s">
        <v>7</v>
      </c>
      <c r="D45" s="41" t="s">
        <v>8</v>
      </c>
      <c r="E45" s="41" t="s">
        <v>9</v>
      </c>
      <c r="F45" s="41" t="s">
        <v>12</v>
      </c>
      <c r="G45" s="41">
        <v>2292</v>
      </c>
      <c r="H45" s="41" t="str">
        <f t="shared" si="0"/>
        <v>18-25</v>
      </c>
    </row>
    <row r="46" spans="1:8" x14ac:dyDescent="0.3">
      <c r="A46" s="41">
        <v>42</v>
      </c>
      <c r="B46" s="41">
        <v>24</v>
      </c>
      <c r="C46" s="41" t="s">
        <v>7</v>
      </c>
      <c r="D46" s="41" t="s">
        <v>8</v>
      </c>
      <c r="E46" s="41" t="s">
        <v>14</v>
      </c>
      <c r="F46" s="41" t="s">
        <v>18</v>
      </c>
      <c r="G46" s="41">
        <v>850</v>
      </c>
      <c r="H46" s="41" t="str">
        <f t="shared" si="0"/>
        <v>18-25</v>
      </c>
    </row>
    <row r="47" spans="1:8" x14ac:dyDescent="0.3">
      <c r="A47" s="41">
        <v>43</v>
      </c>
      <c r="B47" s="41">
        <v>31</v>
      </c>
      <c r="C47" s="41" t="s">
        <v>7</v>
      </c>
      <c r="D47" s="41" t="s">
        <v>20</v>
      </c>
      <c r="E47" s="41" t="s">
        <v>9</v>
      </c>
      <c r="F47" s="41" t="s">
        <v>12</v>
      </c>
      <c r="G47" s="41">
        <v>2609</v>
      </c>
      <c r="H47" s="41" t="str">
        <f t="shared" si="0"/>
        <v>26-35</v>
      </c>
    </row>
    <row r="48" spans="1:8" x14ac:dyDescent="0.3">
      <c r="A48" s="41">
        <v>44</v>
      </c>
      <c r="B48" s="41">
        <v>24</v>
      </c>
      <c r="C48" s="41" t="s">
        <v>7</v>
      </c>
      <c r="D48" s="41" t="s">
        <v>20</v>
      </c>
      <c r="E48" s="41" t="s">
        <v>9</v>
      </c>
      <c r="F48" s="41" t="s">
        <v>19</v>
      </c>
      <c r="G48" s="41">
        <v>3456</v>
      </c>
      <c r="H48" s="41" t="str">
        <f t="shared" si="0"/>
        <v>18-25</v>
      </c>
    </row>
    <row r="49" spans="1:8" x14ac:dyDescent="0.3">
      <c r="A49" s="41">
        <v>45</v>
      </c>
      <c r="B49" s="41">
        <v>46</v>
      </c>
      <c r="C49" s="41" t="s">
        <v>13</v>
      </c>
      <c r="D49" s="41" t="s">
        <v>20</v>
      </c>
      <c r="E49" s="41" t="s">
        <v>16</v>
      </c>
      <c r="F49" s="41" t="s">
        <v>12</v>
      </c>
      <c r="G49" s="41">
        <v>3135</v>
      </c>
      <c r="H49" s="41" t="str">
        <f t="shared" si="0"/>
        <v>46-60</v>
      </c>
    </row>
    <row r="50" spans="1:8" x14ac:dyDescent="0.3">
      <c r="A50" s="41">
        <v>46</v>
      </c>
      <c r="B50" s="41">
        <v>24</v>
      </c>
      <c r="C50" s="41" t="s">
        <v>7</v>
      </c>
      <c r="D50" s="41" t="s">
        <v>8</v>
      </c>
      <c r="E50" s="41" t="s">
        <v>21</v>
      </c>
      <c r="F50" s="41" t="s">
        <v>10</v>
      </c>
      <c r="G50" s="41">
        <v>1606</v>
      </c>
      <c r="H50" s="41" t="str">
        <f t="shared" si="0"/>
        <v>18-25</v>
      </c>
    </row>
    <row r="51" spans="1:8" x14ac:dyDescent="0.3">
      <c r="A51" s="41">
        <v>47</v>
      </c>
      <c r="B51" s="41">
        <v>32</v>
      </c>
      <c r="C51" s="41" t="s">
        <v>13</v>
      </c>
      <c r="D51" s="41" t="s">
        <v>20</v>
      </c>
      <c r="E51" s="41" t="s">
        <v>16</v>
      </c>
      <c r="F51" s="41" t="s">
        <v>17</v>
      </c>
      <c r="G51" s="41">
        <v>3718</v>
      </c>
      <c r="H51" s="41" t="str">
        <f t="shared" si="0"/>
        <v>26-35</v>
      </c>
    </row>
    <row r="52" spans="1:8" x14ac:dyDescent="0.3">
      <c r="A52" s="41">
        <v>48</v>
      </c>
      <c r="B52" s="41">
        <v>58</v>
      </c>
      <c r="C52" s="41" t="s">
        <v>13</v>
      </c>
      <c r="D52" s="41" t="s">
        <v>15</v>
      </c>
      <c r="E52" s="41" t="s">
        <v>9</v>
      </c>
      <c r="F52" s="41" t="s">
        <v>24</v>
      </c>
      <c r="G52" s="41">
        <v>17315</v>
      </c>
      <c r="H52" s="41" t="str">
        <f t="shared" si="0"/>
        <v>46-60</v>
      </c>
    </row>
    <row r="53" spans="1:8" x14ac:dyDescent="0.3">
      <c r="A53" s="41">
        <v>49</v>
      </c>
      <c r="B53" s="41">
        <v>19</v>
      </c>
      <c r="C53" s="41" t="s">
        <v>13</v>
      </c>
      <c r="D53" s="41" t="s">
        <v>8</v>
      </c>
      <c r="E53" s="41" t="s">
        <v>21</v>
      </c>
      <c r="F53" s="41" t="s">
        <v>23</v>
      </c>
      <c r="G53" s="41">
        <v>10132</v>
      </c>
      <c r="H53" s="41" t="str">
        <f t="shared" si="0"/>
        <v>18-25</v>
      </c>
    </row>
    <row r="54" spans="1:8" x14ac:dyDescent="0.3">
      <c r="A54" s="41">
        <v>50</v>
      </c>
      <c r="B54" s="41">
        <v>34</v>
      </c>
      <c r="C54" s="41" t="s">
        <v>13</v>
      </c>
      <c r="D54" s="41" t="s">
        <v>20</v>
      </c>
      <c r="E54" s="41" t="s">
        <v>21</v>
      </c>
      <c r="F54" s="41" t="s">
        <v>24</v>
      </c>
      <c r="G54" s="41">
        <v>16698</v>
      </c>
      <c r="H54" s="41" t="str">
        <f t="shared" si="0"/>
        <v>26-35</v>
      </c>
    </row>
    <row r="55" spans="1:8" x14ac:dyDescent="0.3">
      <c r="A55" s="41">
        <v>51</v>
      </c>
      <c r="B55" s="41">
        <v>24</v>
      </c>
      <c r="C55" s="41" t="s">
        <v>7</v>
      </c>
      <c r="D55" s="41" t="s">
        <v>8</v>
      </c>
      <c r="E55" s="41" t="s">
        <v>9</v>
      </c>
      <c r="F55" s="41" t="s">
        <v>10</v>
      </c>
      <c r="G55" s="41">
        <v>2602</v>
      </c>
      <c r="H55" s="41" t="str">
        <f t="shared" si="0"/>
        <v>18-25</v>
      </c>
    </row>
    <row r="56" spans="1:8" x14ac:dyDescent="0.3">
      <c r="A56" s="41">
        <v>52</v>
      </c>
      <c r="B56" s="41">
        <v>21</v>
      </c>
      <c r="C56" s="41" t="s">
        <v>13</v>
      </c>
      <c r="D56" s="41" t="s">
        <v>8</v>
      </c>
      <c r="E56" s="41" t="s">
        <v>16</v>
      </c>
      <c r="F56" s="41" t="s">
        <v>10</v>
      </c>
      <c r="G56" s="41">
        <v>3205</v>
      </c>
      <c r="H56" s="41" t="str">
        <f t="shared" si="0"/>
        <v>18-25</v>
      </c>
    </row>
    <row r="57" spans="1:8" x14ac:dyDescent="0.3">
      <c r="A57" s="41">
        <v>53</v>
      </c>
      <c r="B57" s="41">
        <v>18</v>
      </c>
      <c r="C57" s="41" t="s">
        <v>13</v>
      </c>
      <c r="D57" s="41" t="s">
        <v>8</v>
      </c>
      <c r="E57" s="41" t="s">
        <v>21</v>
      </c>
      <c r="F57" s="41" t="s">
        <v>19</v>
      </c>
      <c r="G57" s="41">
        <v>20921</v>
      </c>
      <c r="H57" s="41" t="str">
        <f t="shared" si="0"/>
        <v>18-25</v>
      </c>
    </row>
    <row r="58" spans="1:8" x14ac:dyDescent="0.3">
      <c r="A58" s="41">
        <v>54</v>
      </c>
      <c r="B58" s="41">
        <v>21</v>
      </c>
      <c r="C58" s="41" t="s">
        <v>7</v>
      </c>
      <c r="D58" s="41" t="s">
        <v>8</v>
      </c>
      <c r="E58" s="41" t="s">
        <v>9</v>
      </c>
      <c r="F58" s="41" t="s">
        <v>19</v>
      </c>
      <c r="G58" s="41">
        <v>12967</v>
      </c>
      <c r="H58" s="41" t="str">
        <f t="shared" si="0"/>
        <v>18-25</v>
      </c>
    </row>
    <row r="59" spans="1:8" x14ac:dyDescent="0.3">
      <c r="A59" s="41">
        <v>55</v>
      </c>
      <c r="B59" s="41">
        <v>23</v>
      </c>
      <c r="C59" s="41" t="s">
        <v>13</v>
      </c>
      <c r="D59" s="41" t="s">
        <v>8</v>
      </c>
      <c r="E59" s="41" t="s">
        <v>16</v>
      </c>
      <c r="F59" s="41" t="s">
        <v>19</v>
      </c>
      <c r="G59" s="41">
        <v>8009</v>
      </c>
      <c r="H59" s="41" t="str">
        <f t="shared" si="0"/>
        <v>18-25</v>
      </c>
    </row>
    <row r="60" spans="1:8" x14ac:dyDescent="0.3">
      <c r="A60" s="41">
        <v>56</v>
      </c>
      <c r="B60" s="41">
        <v>48</v>
      </c>
      <c r="C60" s="41" t="s">
        <v>13</v>
      </c>
      <c r="D60" s="41" t="s">
        <v>20</v>
      </c>
      <c r="E60" s="41" t="s">
        <v>21</v>
      </c>
      <c r="F60" s="41" t="s">
        <v>17</v>
      </c>
      <c r="G60" s="41">
        <v>4095</v>
      </c>
      <c r="H60" s="41" t="str">
        <f t="shared" si="0"/>
        <v>46-60</v>
      </c>
    </row>
    <row r="61" spans="1:8" x14ac:dyDescent="0.3">
      <c r="A61" s="41">
        <v>57</v>
      </c>
      <c r="B61" s="41">
        <v>53</v>
      </c>
      <c r="C61" s="41" t="s">
        <v>13</v>
      </c>
      <c r="D61" s="41" t="s">
        <v>20</v>
      </c>
      <c r="E61" s="41" t="s">
        <v>9</v>
      </c>
      <c r="F61" s="41" t="s">
        <v>10</v>
      </c>
      <c r="G61" s="41">
        <v>7490</v>
      </c>
      <c r="H61" s="41" t="str">
        <f t="shared" si="0"/>
        <v>46-60</v>
      </c>
    </row>
    <row r="62" spans="1:8" x14ac:dyDescent="0.3">
      <c r="A62" s="41">
        <v>58</v>
      </c>
      <c r="B62" s="41">
        <v>24</v>
      </c>
      <c r="C62" s="41" t="s">
        <v>13</v>
      </c>
      <c r="D62" s="41" t="s">
        <v>22</v>
      </c>
      <c r="E62" s="41" t="s">
        <v>16</v>
      </c>
      <c r="F62" s="41" t="s">
        <v>24</v>
      </c>
      <c r="G62" s="41">
        <v>13563</v>
      </c>
      <c r="H62" s="41" t="str">
        <f t="shared" si="0"/>
        <v>18-25</v>
      </c>
    </row>
    <row r="63" spans="1:8" x14ac:dyDescent="0.3">
      <c r="A63" s="41">
        <v>59</v>
      </c>
      <c r="B63" s="41">
        <v>23</v>
      </c>
      <c r="C63" s="41" t="s">
        <v>7</v>
      </c>
      <c r="D63" s="41" t="s">
        <v>20</v>
      </c>
      <c r="E63" s="41" t="s">
        <v>9</v>
      </c>
      <c r="F63" s="41" t="s">
        <v>17</v>
      </c>
      <c r="G63" s="41">
        <v>4495</v>
      </c>
      <c r="H63" s="41" t="str">
        <f t="shared" si="0"/>
        <v>18-25</v>
      </c>
    </row>
    <row r="64" spans="1:8" x14ac:dyDescent="0.3">
      <c r="A64" s="41">
        <v>60</v>
      </c>
      <c r="B64" s="41">
        <v>25</v>
      </c>
      <c r="C64" s="41" t="s">
        <v>13</v>
      </c>
      <c r="D64" s="41" t="s">
        <v>20</v>
      </c>
      <c r="E64" s="41" t="s">
        <v>16</v>
      </c>
      <c r="F64" s="41" t="s">
        <v>18</v>
      </c>
      <c r="G64" s="41">
        <v>3161</v>
      </c>
      <c r="H64" s="41" t="str">
        <f t="shared" si="0"/>
        <v>18-25</v>
      </c>
    </row>
    <row r="65" spans="1:8" x14ac:dyDescent="0.3">
      <c r="A65" s="41">
        <v>61</v>
      </c>
      <c r="B65" s="41">
        <v>45</v>
      </c>
      <c r="C65" s="41" t="s">
        <v>13</v>
      </c>
      <c r="D65" s="41" t="s">
        <v>22</v>
      </c>
      <c r="E65" s="41" t="s">
        <v>21</v>
      </c>
      <c r="F65" s="41" t="s">
        <v>10</v>
      </c>
      <c r="G65" s="41">
        <v>2533</v>
      </c>
      <c r="H65" s="41" t="str">
        <f t="shared" si="0"/>
        <v>36-45</v>
      </c>
    </row>
    <row r="66" spans="1:8" x14ac:dyDescent="0.3">
      <c r="A66" s="41">
        <v>62</v>
      </c>
      <c r="B66" s="41">
        <v>33</v>
      </c>
      <c r="C66" s="41" t="s">
        <v>13</v>
      </c>
      <c r="D66" s="41" t="s">
        <v>11</v>
      </c>
      <c r="E66" s="41" t="s">
        <v>14</v>
      </c>
      <c r="F66" s="41" t="s">
        <v>19</v>
      </c>
      <c r="G66" s="41">
        <v>5828</v>
      </c>
      <c r="H66" s="41" t="str">
        <f t="shared" si="0"/>
        <v>26-35</v>
      </c>
    </row>
    <row r="67" spans="1:8" x14ac:dyDescent="0.3">
      <c r="A67" s="41">
        <v>63</v>
      </c>
      <c r="B67" s="41">
        <v>28</v>
      </c>
      <c r="C67" s="41" t="s">
        <v>13</v>
      </c>
      <c r="D67" s="41" t="s">
        <v>20</v>
      </c>
      <c r="E67" s="41" t="s">
        <v>14</v>
      </c>
      <c r="F67" s="41" t="s">
        <v>24</v>
      </c>
      <c r="G67" s="41">
        <v>8580</v>
      </c>
      <c r="H67" s="41" t="str">
        <f t="shared" si="0"/>
        <v>26-35</v>
      </c>
    </row>
    <row r="68" spans="1:8" x14ac:dyDescent="0.3">
      <c r="A68" s="41">
        <v>64</v>
      </c>
      <c r="B68" s="41">
        <v>22</v>
      </c>
      <c r="C68" s="41" t="s">
        <v>13</v>
      </c>
      <c r="D68" s="41" t="s">
        <v>22</v>
      </c>
      <c r="E68" s="41" t="s">
        <v>14</v>
      </c>
      <c r="F68" s="41" t="s">
        <v>10</v>
      </c>
      <c r="G68" s="41">
        <v>7199</v>
      </c>
      <c r="H68" s="41" t="str">
        <f t="shared" si="0"/>
        <v>18-25</v>
      </c>
    </row>
    <row r="69" spans="1:8" x14ac:dyDescent="0.3">
      <c r="A69" s="41">
        <v>65</v>
      </c>
      <c r="B69" s="41">
        <v>18</v>
      </c>
      <c r="C69" s="41" t="s">
        <v>7</v>
      </c>
      <c r="D69" s="41" t="s">
        <v>8</v>
      </c>
      <c r="E69" s="41" t="s">
        <v>21</v>
      </c>
      <c r="F69" s="41" t="s">
        <v>12</v>
      </c>
      <c r="G69" s="41">
        <v>2490</v>
      </c>
      <c r="H69" s="41" t="str">
        <f t="shared" si="0"/>
        <v>18-25</v>
      </c>
    </row>
    <row r="70" spans="1:8" x14ac:dyDescent="0.3">
      <c r="A70" s="41">
        <v>66</v>
      </c>
      <c r="B70" s="41">
        <v>40</v>
      </c>
      <c r="C70" s="41" t="s">
        <v>7</v>
      </c>
      <c r="D70" s="41" t="s">
        <v>15</v>
      </c>
      <c r="E70" s="41" t="s">
        <v>9</v>
      </c>
      <c r="F70" s="41" t="s">
        <v>18</v>
      </c>
      <c r="G70" s="41">
        <v>1232</v>
      </c>
      <c r="H70" s="41" t="str">
        <f t="shared" ref="H70:H133" si="1">IF(B70&lt;=25,"18-25",IF(B70&lt;=35,"26-35",IF(B70&lt;=45,"36-45","46-60")))</f>
        <v>36-45</v>
      </c>
    </row>
    <row r="71" spans="1:8" x14ac:dyDescent="0.3">
      <c r="A71" s="41">
        <v>67</v>
      </c>
      <c r="B71" s="41">
        <v>30</v>
      </c>
      <c r="C71" s="41" t="s">
        <v>7</v>
      </c>
      <c r="D71" s="41" t="s">
        <v>22</v>
      </c>
      <c r="E71" s="41" t="s">
        <v>21</v>
      </c>
      <c r="F71" s="41" t="s">
        <v>17</v>
      </c>
      <c r="G71" s="41">
        <v>4750</v>
      </c>
      <c r="H71" s="41" t="str">
        <f t="shared" si="1"/>
        <v>26-35</v>
      </c>
    </row>
    <row r="72" spans="1:8" x14ac:dyDescent="0.3">
      <c r="A72" s="41">
        <v>68</v>
      </c>
      <c r="B72" s="41">
        <v>28</v>
      </c>
      <c r="C72" s="41" t="s">
        <v>13</v>
      </c>
      <c r="D72" s="41" t="s">
        <v>15</v>
      </c>
      <c r="E72" s="41" t="s">
        <v>16</v>
      </c>
      <c r="F72" s="41" t="s">
        <v>12</v>
      </c>
      <c r="G72" s="41">
        <v>3159</v>
      </c>
      <c r="H72" s="41" t="str">
        <f t="shared" si="1"/>
        <v>26-35</v>
      </c>
    </row>
    <row r="73" spans="1:8" x14ac:dyDescent="0.3">
      <c r="A73" s="41">
        <v>69</v>
      </c>
      <c r="B73" s="41">
        <v>18</v>
      </c>
      <c r="C73" s="41" t="s">
        <v>7</v>
      </c>
      <c r="D73" s="41" t="s">
        <v>8</v>
      </c>
      <c r="E73" s="41" t="s">
        <v>21</v>
      </c>
      <c r="F73" s="41" t="s">
        <v>12</v>
      </c>
      <c r="G73" s="41">
        <v>5348</v>
      </c>
      <c r="H73" s="41" t="str">
        <f t="shared" si="1"/>
        <v>18-25</v>
      </c>
    </row>
    <row r="74" spans="1:8" x14ac:dyDescent="0.3">
      <c r="A74" s="41">
        <v>70</v>
      </c>
      <c r="B74" s="41">
        <v>30</v>
      </c>
      <c r="C74" s="41" t="s">
        <v>7</v>
      </c>
      <c r="D74" s="41" t="s">
        <v>20</v>
      </c>
      <c r="E74" s="41" t="s">
        <v>16</v>
      </c>
      <c r="F74" s="41" t="s">
        <v>23</v>
      </c>
      <c r="G74" s="41">
        <v>6732</v>
      </c>
      <c r="H74" s="41" t="str">
        <f t="shared" si="1"/>
        <v>26-35</v>
      </c>
    </row>
    <row r="75" spans="1:8" x14ac:dyDescent="0.3">
      <c r="A75" s="41">
        <v>71</v>
      </c>
      <c r="B75" s="41">
        <v>22</v>
      </c>
      <c r="C75" s="41" t="s">
        <v>7</v>
      </c>
      <c r="D75" s="41" t="s">
        <v>20</v>
      </c>
      <c r="E75" s="41" t="s">
        <v>16</v>
      </c>
      <c r="F75" s="41" t="s">
        <v>23</v>
      </c>
      <c r="G75" s="41">
        <v>2308</v>
      </c>
      <c r="H75" s="41" t="str">
        <f t="shared" si="1"/>
        <v>18-25</v>
      </c>
    </row>
    <row r="76" spans="1:8" x14ac:dyDescent="0.3">
      <c r="A76" s="41">
        <v>72</v>
      </c>
      <c r="B76" s="41">
        <v>33</v>
      </c>
      <c r="C76" s="41" t="s">
        <v>7</v>
      </c>
      <c r="D76" s="41" t="s">
        <v>20</v>
      </c>
      <c r="E76" s="41" t="s">
        <v>21</v>
      </c>
      <c r="F76" s="41" t="s">
        <v>12</v>
      </c>
      <c r="G76" s="41">
        <v>6808</v>
      </c>
      <c r="H76" s="41" t="str">
        <f t="shared" si="1"/>
        <v>26-35</v>
      </c>
    </row>
    <row r="77" spans="1:8" x14ac:dyDescent="0.3">
      <c r="A77" s="41">
        <v>73</v>
      </c>
      <c r="B77" s="41">
        <v>34</v>
      </c>
      <c r="C77" s="41" t="s">
        <v>7</v>
      </c>
      <c r="D77" s="41" t="s">
        <v>20</v>
      </c>
      <c r="E77" s="41" t="s">
        <v>16</v>
      </c>
      <c r="F77" s="41" t="s">
        <v>10</v>
      </c>
      <c r="G77" s="41">
        <v>7417</v>
      </c>
      <c r="H77" s="41" t="str">
        <f t="shared" si="1"/>
        <v>26-35</v>
      </c>
    </row>
    <row r="78" spans="1:8" x14ac:dyDescent="0.3">
      <c r="A78" s="41">
        <v>74</v>
      </c>
      <c r="B78" s="41">
        <v>52</v>
      </c>
      <c r="C78" s="41" t="s">
        <v>7</v>
      </c>
      <c r="D78" s="41" t="s">
        <v>20</v>
      </c>
      <c r="E78" s="41" t="s">
        <v>14</v>
      </c>
      <c r="F78" s="41" t="s">
        <v>17</v>
      </c>
      <c r="G78" s="41">
        <v>5265</v>
      </c>
      <c r="H78" s="41" t="str">
        <f t="shared" si="1"/>
        <v>46-60</v>
      </c>
    </row>
    <row r="79" spans="1:8" x14ac:dyDescent="0.3">
      <c r="A79" s="41">
        <v>75</v>
      </c>
      <c r="B79" s="41">
        <v>45</v>
      </c>
      <c r="C79" s="41" t="s">
        <v>13</v>
      </c>
      <c r="D79" s="41" t="s">
        <v>22</v>
      </c>
      <c r="E79" s="41" t="s">
        <v>14</v>
      </c>
      <c r="F79" s="41" t="s">
        <v>24</v>
      </c>
      <c r="G79" s="41">
        <v>5303</v>
      </c>
      <c r="H79" s="41" t="str">
        <f t="shared" si="1"/>
        <v>36-45</v>
      </c>
    </row>
    <row r="80" spans="1:8" x14ac:dyDescent="0.3">
      <c r="A80" s="41">
        <v>76</v>
      </c>
      <c r="B80" s="41">
        <v>19</v>
      </c>
      <c r="C80" s="41" t="s">
        <v>7</v>
      </c>
      <c r="D80" s="41" t="s">
        <v>8</v>
      </c>
      <c r="E80" s="41" t="s">
        <v>16</v>
      </c>
      <c r="F80" s="41" t="s">
        <v>19</v>
      </c>
      <c r="G80" s="41">
        <v>5411</v>
      </c>
      <c r="H80" s="41" t="str">
        <f t="shared" si="1"/>
        <v>18-25</v>
      </c>
    </row>
    <row r="81" spans="1:8" x14ac:dyDescent="0.3">
      <c r="A81" s="41">
        <v>77</v>
      </c>
      <c r="B81" s="41">
        <v>38</v>
      </c>
      <c r="C81" s="41" t="s">
        <v>7</v>
      </c>
      <c r="D81" s="41" t="s">
        <v>20</v>
      </c>
      <c r="E81" s="41" t="s">
        <v>14</v>
      </c>
      <c r="F81" s="41" t="s">
        <v>17</v>
      </c>
      <c r="G81" s="41">
        <v>2519</v>
      </c>
      <c r="H81" s="41" t="str">
        <f t="shared" si="1"/>
        <v>36-45</v>
      </c>
    </row>
    <row r="82" spans="1:8" x14ac:dyDescent="0.3">
      <c r="A82" s="41">
        <v>78</v>
      </c>
      <c r="B82" s="41">
        <v>37</v>
      </c>
      <c r="C82" s="41" t="s">
        <v>13</v>
      </c>
      <c r="D82" s="41" t="s">
        <v>22</v>
      </c>
      <c r="E82" s="41" t="s">
        <v>16</v>
      </c>
      <c r="F82" s="41" t="s">
        <v>12</v>
      </c>
      <c r="G82" s="41">
        <v>3501</v>
      </c>
      <c r="H82" s="41" t="str">
        <f t="shared" si="1"/>
        <v>36-45</v>
      </c>
    </row>
    <row r="83" spans="1:8" x14ac:dyDescent="0.3">
      <c r="A83" s="41">
        <v>79</v>
      </c>
      <c r="B83" s="41">
        <v>41</v>
      </c>
      <c r="C83" s="41" t="s">
        <v>7</v>
      </c>
      <c r="D83" s="41" t="s">
        <v>20</v>
      </c>
      <c r="E83" s="41" t="s">
        <v>14</v>
      </c>
      <c r="F83" s="41" t="s">
        <v>10</v>
      </c>
      <c r="G83" s="41">
        <v>8371</v>
      </c>
      <c r="H83" s="41" t="str">
        <f t="shared" si="1"/>
        <v>36-45</v>
      </c>
    </row>
    <row r="84" spans="1:8" x14ac:dyDescent="0.3">
      <c r="A84" s="41">
        <v>80</v>
      </c>
      <c r="B84" s="41">
        <v>19</v>
      </c>
      <c r="C84" s="41" t="s">
        <v>7</v>
      </c>
      <c r="D84" s="41" t="s">
        <v>8</v>
      </c>
      <c r="E84" s="41" t="s">
        <v>21</v>
      </c>
      <c r="F84" s="41" t="s">
        <v>19</v>
      </c>
      <c r="G84" s="41">
        <v>14756</v>
      </c>
      <c r="H84" s="41" t="str">
        <f t="shared" si="1"/>
        <v>18-25</v>
      </c>
    </row>
    <row r="85" spans="1:8" x14ac:dyDescent="0.3">
      <c r="A85" s="41">
        <v>81</v>
      </c>
      <c r="B85" s="41">
        <v>36</v>
      </c>
      <c r="C85" s="41" t="s">
        <v>13</v>
      </c>
      <c r="D85" s="41" t="s">
        <v>11</v>
      </c>
      <c r="E85" s="41" t="s">
        <v>21</v>
      </c>
      <c r="F85" s="41" t="s">
        <v>10</v>
      </c>
      <c r="G85" s="41">
        <v>3217</v>
      </c>
      <c r="H85" s="41" t="str">
        <f t="shared" si="1"/>
        <v>36-45</v>
      </c>
    </row>
    <row r="86" spans="1:8" x14ac:dyDescent="0.3">
      <c r="A86" s="41">
        <v>82</v>
      </c>
      <c r="B86" s="41">
        <v>18</v>
      </c>
      <c r="C86" s="41" t="s">
        <v>7</v>
      </c>
      <c r="D86" s="41" t="s">
        <v>8</v>
      </c>
      <c r="E86" s="41" t="s">
        <v>14</v>
      </c>
      <c r="F86" s="41" t="s">
        <v>19</v>
      </c>
      <c r="G86" s="41">
        <v>5747</v>
      </c>
      <c r="H86" s="41" t="str">
        <f t="shared" si="1"/>
        <v>18-25</v>
      </c>
    </row>
    <row r="87" spans="1:8" x14ac:dyDescent="0.3">
      <c r="A87" s="41">
        <v>83</v>
      </c>
      <c r="B87" s="41">
        <v>22</v>
      </c>
      <c r="C87" s="41" t="s">
        <v>7</v>
      </c>
      <c r="D87" s="41" t="s">
        <v>8</v>
      </c>
      <c r="E87" s="41" t="s">
        <v>14</v>
      </c>
      <c r="F87" s="41" t="s">
        <v>19</v>
      </c>
      <c r="G87" s="41">
        <v>15783</v>
      </c>
      <c r="H87" s="41" t="str">
        <f t="shared" si="1"/>
        <v>18-25</v>
      </c>
    </row>
    <row r="88" spans="1:8" x14ac:dyDescent="0.3">
      <c r="A88" s="41">
        <v>84</v>
      </c>
      <c r="B88" s="41">
        <v>29</v>
      </c>
      <c r="C88" s="41" t="s">
        <v>13</v>
      </c>
      <c r="D88" s="41" t="s">
        <v>15</v>
      </c>
      <c r="E88" s="41" t="s">
        <v>16</v>
      </c>
      <c r="F88" s="41" t="s">
        <v>23</v>
      </c>
      <c r="G88" s="41">
        <v>7450</v>
      </c>
      <c r="H88" s="41" t="str">
        <f t="shared" si="1"/>
        <v>26-35</v>
      </c>
    </row>
    <row r="89" spans="1:8" x14ac:dyDescent="0.3">
      <c r="A89" s="41">
        <v>85</v>
      </c>
      <c r="B89" s="41">
        <v>25</v>
      </c>
      <c r="C89" s="41" t="s">
        <v>13</v>
      </c>
      <c r="D89" s="41" t="s">
        <v>20</v>
      </c>
      <c r="E89" s="41" t="s">
        <v>9</v>
      </c>
      <c r="F89" s="41" t="s">
        <v>17</v>
      </c>
      <c r="G89" s="41">
        <v>9968</v>
      </c>
      <c r="H89" s="41" t="str">
        <f t="shared" si="1"/>
        <v>18-25</v>
      </c>
    </row>
    <row r="90" spans="1:8" x14ac:dyDescent="0.3">
      <c r="A90" s="41">
        <v>86</v>
      </c>
      <c r="B90" s="41">
        <v>46</v>
      </c>
      <c r="C90" s="41" t="s">
        <v>13</v>
      </c>
      <c r="D90" s="41" t="s">
        <v>15</v>
      </c>
      <c r="E90" s="41" t="s">
        <v>14</v>
      </c>
      <c r="F90" s="41" t="s">
        <v>17</v>
      </c>
      <c r="G90" s="41">
        <v>4276</v>
      </c>
      <c r="H90" s="41" t="str">
        <f t="shared" si="1"/>
        <v>46-60</v>
      </c>
    </row>
    <row r="91" spans="1:8" x14ac:dyDescent="0.3">
      <c r="A91" s="41">
        <v>87</v>
      </c>
      <c r="B91" s="41">
        <v>53</v>
      </c>
      <c r="C91" s="41" t="s">
        <v>13</v>
      </c>
      <c r="D91" s="41" t="s">
        <v>20</v>
      </c>
      <c r="E91" s="41" t="s">
        <v>21</v>
      </c>
      <c r="F91" s="41" t="s">
        <v>10</v>
      </c>
      <c r="G91" s="41">
        <v>8046</v>
      </c>
      <c r="H91" s="41" t="str">
        <f t="shared" si="1"/>
        <v>46-60</v>
      </c>
    </row>
    <row r="92" spans="1:8" x14ac:dyDescent="0.3">
      <c r="A92" s="41">
        <v>88</v>
      </c>
      <c r="B92" s="41">
        <v>34</v>
      </c>
      <c r="C92" s="41" t="s">
        <v>13</v>
      </c>
      <c r="D92" s="41" t="s">
        <v>15</v>
      </c>
      <c r="E92" s="41" t="s">
        <v>16</v>
      </c>
      <c r="F92" s="41" t="s">
        <v>24</v>
      </c>
      <c r="G92" s="41">
        <v>4055</v>
      </c>
      <c r="H92" s="41" t="str">
        <f t="shared" si="1"/>
        <v>26-35</v>
      </c>
    </row>
    <row r="93" spans="1:8" x14ac:dyDescent="0.3">
      <c r="A93" s="41">
        <v>89</v>
      </c>
      <c r="B93" s="41">
        <v>34</v>
      </c>
      <c r="C93" s="41" t="s">
        <v>7</v>
      </c>
      <c r="D93" s="41" t="s">
        <v>20</v>
      </c>
      <c r="E93" s="41" t="s">
        <v>21</v>
      </c>
      <c r="F93" s="41" t="s">
        <v>19</v>
      </c>
      <c r="G93" s="41">
        <v>14964</v>
      </c>
      <c r="H93" s="41" t="str">
        <f t="shared" si="1"/>
        <v>26-35</v>
      </c>
    </row>
    <row r="94" spans="1:8" x14ac:dyDescent="0.3">
      <c r="A94" s="41">
        <v>90</v>
      </c>
      <c r="B94" s="41">
        <v>21</v>
      </c>
      <c r="C94" s="41" t="s">
        <v>13</v>
      </c>
      <c r="D94" s="41" t="s">
        <v>8</v>
      </c>
      <c r="E94" s="41" t="s">
        <v>21</v>
      </c>
      <c r="F94" s="41" t="s">
        <v>10</v>
      </c>
      <c r="G94" s="41">
        <v>5882</v>
      </c>
      <c r="H94" s="41" t="str">
        <f t="shared" si="1"/>
        <v>18-25</v>
      </c>
    </row>
    <row r="95" spans="1:8" x14ac:dyDescent="0.3">
      <c r="A95" s="41">
        <v>91</v>
      </c>
      <c r="B95" s="41">
        <v>26</v>
      </c>
      <c r="C95" s="41" t="s">
        <v>13</v>
      </c>
      <c r="D95" s="41" t="s">
        <v>11</v>
      </c>
      <c r="E95" s="41" t="s">
        <v>16</v>
      </c>
      <c r="F95" s="41" t="s">
        <v>10</v>
      </c>
      <c r="G95" s="41">
        <v>6774</v>
      </c>
      <c r="H95" s="41" t="str">
        <f t="shared" si="1"/>
        <v>26-35</v>
      </c>
    </row>
    <row r="96" spans="1:8" x14ac:dyDescent="0.3">
      <c r="A96" s="41">
        <v>92</v>
      </c>
      <c r="B96" s="41">
        <v>25</v>
      </c>
      <c r="C96" s="41" t="s">
        <v>7</v>
      </c>
      <c r="D96" s="41" t="s">
        <v>20</v>
      </c>
      <c r="E96" s="41" t="s">
        <v>21</v>
      </c>
      <c r="F96" s="41" t="s">
        <v>23</v>
      </c>
      <c r="G96" s="41">
        <v>6468</v>
      </c>
      <c r="H96" s="41" t="str">
        <f t="shared" si="1"/>
        <v>18-25</v>
      </c>
    </row>
    <row r="97" spans="1:8" x14ac:dyDescent="0.3">
      <c r="A97" s="41">
        <v>93</v>
      </c>
      <c r="B97" s="41">
        <v>41</v>
      </c>
      <c r="C97" s="41" t="s">
        <v>7</v>
      </c>
      <c r="D97" s="41" t="s">
        <v>22</v>
      </c>
      <c r="E97" s="41" t="s">
        <v>21</v>
      </c>
      <c r="F97" s="41" t="s">
        <v>18</v>
      </c>
      <c r="G97" s="41">
        <v>1351</v>
      </c>
      <c r="H97" s="41" t="str">
        <f t="shared" si="1"/>
        <v>36-45</v>
      </c>
    </row>
    <row r="98" spans="1:8" x14ac:dyDescent="0.3">
      <c r="A98" s="41">
        <v>94</v>
      </c>
      <c r="B98" s="41">
        <v>21</v>
      </c>
      <c r="C98" s="41" t="s">
        <v>13</v>
      </c>
      <c r="D98" s="41" t="s">
        <v>8</v>
      </c>
      <c r="E98" s="41" t="s">
        <v>14</v>
      </c>
      <c r="F98" s="41" t="s">
        <v>19</v>
      </c>
      <c r="G98" s="41">
        <v>24670</v>
      </c>
      <c r="H98" s="41" t="str">
        <f t="shared" si="1"/>
        <v>18-25</v>
      </c>
    </row>
    <row r="99" spans="1:8" x14ac:dyDescent="0.3">
      <c r="A99" s="41">
        <v>95</v>
      </c>
      <c r="B99" s="41">
        <v>45</v>
      </c>
      <c r="C99" s="41" t="s">
        <v>7</v>
      </c>
      <c r="D99" s="41" t="s">
        <v>20</v>
      </c>
      <c r="E99" s="41" t="s">
        <v>9</v>
      </c>
      <c r="F99" s="41" t="s">
        <v>17</v>
      </c>
      <c r="G99" s="41">
        <v>14837</v>
      </c>
      <c r="H99" s="41" t="str">
        <f t="shared" si="1"/>
        <v>36-45</v>
      </c>
    </row>
    <row r="100" spans="1:8" x14ac:dyDescent="0.3">
      <c r="A100" s="41">
        <v>96</v>
      </c>
      <c r="B100" s="41">
        <v>19</v>
      </c>
      <c r="C100" s="41" t="s">
        <v>13</v>
      </c>
      <c r="D100" s="41" t="s">
        <v>8</v>
      </c>
      <c r="E100" s="41" t="s">
        <v>14</v>
      </c>
      <c r="F100" s="41" t="s">
        <v>18</v>
      </c>
      <c r="G100" s="41">
        <v>5389</v>
      </c>
      <c r="H100" s="41" t="str">
        <f t="shared" si="1"/>
        <v>18-25</v>
      </c>
    </row>
    <row r="101" spans="1:8" x14ac:dyDescent="0.3">
      <c r="A101" s="41">
        <v>97</v>
      </c>
      <c r="B101" s="41">
        <v>31</v>
      </c>
      <c r="C101" s="41" t="s">
        <v>7</v>
      </c>
      <c r="D101" s="41" t="s">
        <v>11</v>
      </c>
      <c r="E101" s="41" t="s">
        <v>14</v>
      </c>
      <c r="F101" s="41" t="s">
        <v>23</v>
      </c>
      <c r="G101" s="41">
        <v>10031</v>
      </c>
      <c r="H101" s="41" t="str">
        <f t="shared" si="1"/>
        <v>26-35</v>
      </c>
    </row>
    <row r="102" spans="1:8" x14ac:dyDescent="0.3">
      <c r="A102" s="41">
        <v>98</v>
      </c>
      <c r="B102" s="41">
        <v>45</v>
      </c>
      <c r="C102" s="41" t="s">
        <v>7</v>
      </c>
      <c r="D102" s="41" t="s">
        <v>20</v>
      </c>
      <c r="E102" s="41" t="s">
        <v>21</v>
      </c>
      <c r="F102" s="41" t="s">
        <v>17</v>
      </c>
      <c r="G102" s="41">
        <v>13126</v>
      </c>
      <c r="H102" s="41" t="str">
        <f t="shared" si="1"/>
        <v>36-45</v>
      </c>
    </row>
    <row r="103" spans="1:8" x14ac:dyDescent="0.3">
      <c r="A103" s="41">
        <v>99</v>
      </c>
      <c r="B103" s="41">
        <v>43</v>
      </c>
      <c r="C103" s="41" t="s">
        <v>13</v>
      </c>
      <c r="D103" s="41" t="s">
        <v>20</v>
      </c>
      <c r="E103" s="41" t="s">
        <v>14</v>
      </c>
      <c r="F103" s="41" t="s">
        <v>10</v>
      </c>
      <c r="G103" s="41">
        <v>1929</v>
      </c>
      <c r="H103" s="41" t="str">
        <f t="shared" si="1"/>
        <v>36-45</v>
      </c>
    </row>
    <row r="104" spans="1:8" x14ac:dyDescent="0.3">
      <c r="A104" s="41">
        <v>100</v>
      </c>
      <c r="B104" s="41">
        <v>53</v>
      </c>
      <c r="C104" s="41" t="s">
        <v>7</v>
      </c>
      <c r="D104" s="41" t="s">
        <v>20</v>
      </c>
      <c r="E104" s="41" t="s">
        <v>21</v>
      </c>
      <c r="F104" s="41" t="s">
        <v>19</v>
      </c>
      <c r="G104" s="41">
        <v>6431</v>
      </c>
      <c r="H104" s="41" t="str">
        <f t="shared" si="1"/>
        <v>46-60</v>
      </c>
    </row>
    <row r="105" spans="1:8" x14ac:dyDescent="0.3">
      <c r="A105" s="41">
        <v>101</v>
      </c>
      <c r="B105" s="41">
        <v>29</v>
      </c>
      <c r="C105" s="41" t="s">
        <v>13</v>
      </c>
      <c r="D105" s="41" t="s">
        <v>11</v>
      </c>
      <c r="E105" s="41" t="s">
        <v>21</v>
      </c>
      <c r="F105" s="41" t="s">
        <v>12</v>
      </c>
      <c r="G105" s="41">
        <v>4949</v>
      </c>
      <c r="H105" s="41" t="str">
        <f t="shared" si="1"/>
        <v>26-35</v>
      </c>
    </row>
    <row r="106" spans="1:8" x14ac:dyDescent="0.3">
      <c r="A106" s="41">
        <v>102</v>
      </c>
      <c r="B106" s="41">
        <v>24</v>
      </c>
      <c r="C106" s="41" t="s">
        <v>7</v>
      </c>
      <c r="D106" s="41" t="s">
        <v>22</v>
      </c>
      <c r="E106" s="41" t="s">
        <v>14</v>
      </c>
      <c r="F106" s="41" t="s">
        <v>12</v>
      </c>
      <c r="G106" s="41">
        <v>5102</v>
      </c>
      <c r="H106" s="41" t="str">
        <f t="shared" si="1"/>
        <v>18-25</v>
      </c>
    </row>
    <row r="107" spans="1:8" x14ac:dyDescent="0.3">
      <c r="A107" s="41">
        <v>103</v>
      </c>
      <c r="B107" s="41">
        <v>42</v>
      </c>
      <c r="C107" s="41" t="s">
        <v>7</v>
      </c>
      <c r="D107" s="41" t="s">
        <v>20</v>
      </c>
      <c r="E107" s="41" t="s">
        <v>9</v>
      </c>
      <c r="F107" s="41" t="s">
        <v>17</v>
      </c>
      <c r="G107" s="41">
        <v>8878</v>
      </c>
      <c r="H107" s="41" t="str">
        <f t="shared" si="1"/>
        <v>36-45</v>
      </c>
    </row>
    <row r="108" spans="1:8" x14ac:dyDescent="0.3">
      <c r="A108" s="41">
        <v>104</v>
      </c>
      <c r="B108" s="41">
        <v>19</v>
      </c>
      <c r="C108" s="41" t="s">
        <v>13</v>
      </c>
      <c r="D108" s="41" t="s">
        <v>8</v>
      </c>
      <c r="E108" s="41" t="s">
        <v>14</v>
      </c>
      <c r="F108" s="41" t="s">
        <v>24</v>
      </c>
      <c r="G108" s="41">
        <v>3327</v>
      </c>
      <c r="H108" s="41" t="str">
        <f t="shared" si="1"/>
        <v>18-25</v>
      </c>
    </row>
    <row r="109" spans="1:8" x14ac:dyDescent="0.3">
      <c r="A109" s="41">
        <v>105</v>
      </c>
      <c r="B109" s="41">
        <v>20</v>
      </c>
      <c r="C109" s="41" t="s">
        <v>7</v>
      </c>
      <c r="D109" s="41" t="s">
        <v>8</v>
      </c>
      <c r="E109" s="41" t="s">
        <v>14</v>
      </c>
      <c r="F109" s="41" t="s">
        <v>19</v>
      </c>
      <c r="G109" s="41">
        <v>11160</v>
      </c>
      <c r="H109" s="41" t="str">
        <f t="shared" si="1"/>
        <v>18-25</v>
      </c>
    </row>
    <row r="110" spans="1:8" x14ac:dyDescent="0.3">
      <c r="A110" s="41">
        <v>106</v>
      </c>
      <c r="B110" s="41">
        <v>33</v>
      </c>
      <c r="C110" s="41" t="s">
        <v>7</v>
      </c>
      <c r="D110" s="41" t="s">
        <v>20</v>
      </c>
      <c r="E110" s="41" t="s">
        <v>16</v>
      </c>
      <c r="F110" s="41" t="s">
        <v>24</v>
      </c>
      <c r="G110" s="41">
        <v>11066</v>
      </c>
      <c r="H110" s="41" t="str">
        <f t="shared" si="1"/>
        <v>26-35</v>
      </c>
    </row>
    <row r="111" spans="1:8" x14ac:dyDescent="0.3">
      <c r="A111" s="41">
        <v>107</v>
      </c>
      <c r="B111" s="41">
        <v>54</v>
      </c>
      <c r="C111" s="41" t="s">
        <v>7</v>
      </c>
      <c r="D111" s="41" t="s">
        <v>20</v>
      </c>
      <c r="E111" s="41" t="s">
        <v>14</v>
      </c>
      <c r="F111" s="41" t="s">
        <v>10</v>
      </c>
      <c r="G111" s="41">
        <v>7615</v>
      </c>
      <c r="H111" s="41" t="str">
        <f t="shared" si="1"/>
        <v>46-60</v>
      </c>
    </row>
    <row r="112" spans="1:8" x14ac:dyDescent="0.3">
      <c r="A112" s="41">
        <v>108</v>
      </c>
      <c r="B112" s="41">
        <v>55</v>
      </c>
      <c r="C112" s="41" t="s">
        <v>7</v>
      </c>
      <c r="D112" s="41" t="s">
        <v>15</v>
      </c>
      <c r="E112" s="41" t="s">
        <v>9</v>
      </c>
      <c r="F112" s="41" t="s">
        <v>10</v>
      </c>
      <c r="G112" s="41">
        <v>5017</v>
      </c>
      <c r="H112" s="41" t="str">
        <f t="shared" si="1"/>
        <v>46-60</v>
      </c>
    </row>
    <row r="113" spans="1:8" x14ac:dyDescent="0.3">
      <c r="A113" s="41">
        <v>109</v>
      </c>
      <c r="B113" s="41">
        <v>30</v>
      </c>
      <c r="C113" s="41" t="s">
        <v>7</v>
      </c>
      <c r="D113" s="41" t="s">
        <v>11</v>
      </c>
      <c r="E113" s="41" t="s">
        <v>21</v>
      </c>
      <c r="F113" s="41" t="s">
        <v>24</v>
      </c>
      <c r="G113" s="41">
        <v>5658</v>
      </c>
      <c r="H113" s="41" t="str">
        <f t="shared" si="1"/>
        <v>26-35</v>
      </c>
    </row>
    <row r="114" spans="1:8" x14ac:dyDescent="0.3">
      <c r="A114" s="41">
        <v>110</v>
      </c>
      <c r="B114" s="41">
        <v>23</v>
      </c>
      <c r="C114" s="41" t="s">
        <v>7</v>
      </c>
      <c r="D114" s="41" t="s">
        <v>8</v>
      </c>
      <c r="E114" s="41" t="s">
        <v>9</v>
      </c>
      <c r="F114" s="41" t="s">
        <v>19</v>
      </c>
      <c r="G114" s="41">
        <v>20964</v>
      </c>
      <c r="H114" s="41" t="str">
        <f t="shared" si="1"/>
        <v>18-25</v>
      </c>
    </row>
    <row r="115" spans="1:8" x14ac:dyDescent="0.3">
      <c r="A115" s="41">
        <v>111</v>
      </c>
      <c r="B115" s="41">
        <v>50</v>
      </c>
      <c r="C115" s="41" t="s">
        <v>7</v>
      </c>
      <c r="D115" s="41" t="s">
        <v>22</v>
      </c>
      <c r="E115" s="41" t="s">
        <v>9</v>
      </c>
      <c r="F115" s="41" t="s">
        <v>18</v>
      </c>
      <c r="G115" s="41">
        <v>767</v>
      </c>
      <c r="H115" s="41" t="str">
        <f t="shared" si="1"/>
        <v>46-60</v>
      </c>
    </row>
    <row r="116" spans="1:8" x14ac:dyDescent="0.3">
      <c r="A116" s="41">
        <v>112</v>
      </c>
      <c r="B116" s="41">
        <v>25</v>
      </c>
      <c r="C116" s="41" t="s">
        <v>13</v>
      </c>
      <c r="D116" s="41" t="s">
        <v>8</v>
      </c>
      <c r="E116" s="41" t="s">
        <v>21</v>
      </c>
      <c r="F116" s="41" t="s">
        <v>24</v>
      </c>
      <c r="G116" s="41">
        <v>2466</v>
      </c>
      <c r="H116" s="41" t="str">
        <f t="shared" si="1"/>
        <v>18-25</v>
      </c>
    </row>
    <row r="117" spans="1:8" x14ac:dyDescent="0.3">
      <c r="A117" s="41">
        <v>113</v>
      </c>
      <c r="B117" s="41">
        <v>30</v>
      </c>
      <c r="C117" s="41" t="s">
        <v>7</v>
      </c>
      <c r="D117" s="41" t="s">
        <v>20</v>
      </c>
      <c r="E117" s="41" t="s">
        <v>9</v>
      </c>
      <c r="F117" s="41" t="s">
        <v>18</v>
      </c>
      <c r="G117" s="41">
        <v>6022</v>
      </c>
      <c r="H117" s="41" t="str">
        <f t="shared" si="1"/>
        <v>26-35</v>
      </c>
    </row>
    <row r="118" spans="1:8" x14ac:dyDescent="0.3">
      <c r="A118" s="41">
        <v>114</v>
      </c>
      <c r="B118" s="41">
        <v>21</v>
      </c>
      <c r="C118" s="41" t="s">
        <v>13</v>
      </c>
      <c r="D118" s="41" t="s">
        <v>8</v>
      </c>
      <c r="E118" s="41" t="s">
        <v>16</v>
      </c>
      <c r="F118" s="41" t="s">
        <v>18</v>
      </c>
      <c r="G118" s="41">
        <v>4736</v>
      </c>
      <c r="H118" s="41" t="str">
        <f t="shared" si="1"/>
        <v>18-25</v>
      </c>
    </row>
    <row r="119" spans="1:8" x14ac:dyDescent="0.3">
      <c r="A119" s="41">
        <v>115</v>
      </c>
      <c r="B119" s="41">
        <v>25</v>
      </c>
      <c r="C119" s="41" t="s">
        <v>7</v>
      </c>
      <c r="D119" s="41" t="s">
        <v>8</v>
      </c>
      <c r="E119" s="41" t="s">
        <v>21</v>
      </c>
      <c r="F119" s="41" t="s">
        <v>19</v>
      </c>
      <c r="G119" s="41">
        <v>5100</v>
      </c>
      <c r="H119" s="41" t="str">
        <f t="shared" si="1"/>
        <v>18-25</v>
      </c>
    </row>
    <row r="120" spans="1:8" x14ac:dyDescent="0.3">
      <c r="A120" s="41">
        <v>116</v>
      </c>
      <c r="B120" s="41">
        <v>36</v>
      </c>
      <c r="C120" s="41" t="s">
        <v>7</v>
      </c>
      <c r="D120" s="41" t="s">
        <v>15</v>
      </c>
      <c r="E120" s="41" t="s">
        <v>14</v>
      </c>
      <c r="F120" s="41" t="s">
        <v>17</v>
      </c>
      <c r="G120" s="41">
        <v>7794</v>
      </c>
      <c r="H120" s="41" t="str">
        <f t="shared" si="1"/>
        <v>36-45</v>
      </c>
    </row>
    <row r="121" spans="1:8" x14ac:dyDescent="0.3">
      <c r="A121" s="41">
        <v>117</v>
      </c>
      <c r="B121" s="41">
        <v>24</v>
      </c>
      <c r="C121" s="41" t="s">
        <v>7</v>
      </c>
      <c r="D121" s="41" t="s">
        <v>22</v>
      </c>
      <c r="E121" s="41" t="s">
        <v>16</v>
      </c>
      <c r="F121" s="41" t="s">
        <v>24</v>
      </c>
      <c r="G121" s="41">
        <v>14306</v>
      </c>
      <c r="H121" s="41" t="str">
        <f t="shared" si="1"/>
        <v>18-25</v>
      </c>
    </row>
    <row r="122" spans="1:8" x14ac:dyDescent="0.3">
      <c r="A122" s="41">
        <v>118</v>
      </c>
      <c r="B122" s="41">
        <v>22</v>
      </c>
      <c r="C122" s="41" t="s">
        <v>13</v>
      </c>
      <c r="D122" s="41" t="s">
        <v>8</v>
      </c>
      <c r="E122" s="41" t="s">
        <v>16</v>
      </c>
      <c r="F122" s="41" t="s">
        <v>24</v>
      </c>
      <c r="G122" s="41">
        <v>8226</v>
      </c>
      <c r="H122" s="41" t="str">
        <f t="shared" si="1"/>
        <v>18-25</v>
      </c>
    </row>
    <row r="123" spans="1:8" x14ac:dyDescent="0.3">
      <c r="A123" s="41">
        <v>119</v>
      </c>
      <c r="B123" s="41">
        <v>19</v>
      </c>
      <c r="C123" s="41" t="s">
        <v>7</v>
      </c>
      <c r="D123" s="41" t="s">
        <v>8</v>
      </c>
      <c r="E123" s="41" t="s">
        <v>21</v>
      </c>
      <c r="F123" s="41" t="s">
        <v>19</v>
      </c>
      <c r="G123" s="41">
        <v>17312</v>
      </c>
      <c r="H123" s="41" t="str">
        <f t="shared" si="1"/>
        <v>18-25</v>
      </c>
    </row>
    <row r="124" spans="1:8" x14ac:dyDescent="0.3">
      <c r="A124" s="41">
        <v>120</v>
      </c>
      <c r="B124" s="41">
        <v>27</v>
      </c>
      <c r="C124" s="41" t="s">
        <v>7</v>
      </c>
      <c r="D124" s="41" t="s">
        <v>11</v>
      </c>
      <c r="E124" s="41" t="s">
        <v>16</v>
      </c>
      <c r="F124" s="41" t="s">
        <v>10</v>
      </c>
      <c r="G124" s="41">
        <v>3950</v>
      </c>
      <c r="H124" s="41" t="str">
        <f t="shared" si="1"/>
        <v>26-35</v>
      </c>
    </row>
    <row r="125" spans="1:8" x14ac:dyDescent="0.3">
      <c r="A125" s="41">
        <v>121</v>
      </c>
      <c r="B125" s="41">
        <v>50</v>
      </c>
      <c r="C125" s="41" t="s">
        <v>7</v>
      </c>
      <c r="D125" s="41" t="s">
        <v>11</v>
      </c>
      <c r="E125" s="41" t="s">
        <v>9</v>
      </c>
      <c r="F125" s="41" t="s">
        <v>17</v>
      </c>
      <c r="G125" s="41">
        <v>2033</v>
      </c>
      <c r="H125" s="41" t="str">
        <f t="shared" si="1"/>
        <v>46-60</v>
      </c>
    </row>
    <row r="126" spans="1:8" x14ac:dyDescent="0.3">
      <c r="A126" s="41">
        <v>122</v>
      </c>
      <c r="B126" s="41">
        <v>33</v>
      </c>
      <c r="C126" s="41" t="s">
        <v>13</v>
      </c>
      <c r="D126" s="41" t="s">
        <v>20</v>
      </c>
      <c r="E126" s="41" t="s">
        <v>16</v>
      </c>
      <c r="F126" s="41" t="s">
        <v>24</v>
      </c>
      <c r="G126" s="41">
        <v>18386</v>
      </c>
      <c r="H126" s="41" t="str">
        <f t="shared" si="1"/>
        <v>26-35</v>
      </c>
    </row>
    <row r="127" spans="1:8" x14ac:dyDescent="0.3">
      <c r="A127" s="41">
        <v>123</v>
      </c>
      <c r="B127" s="41">
        <v>35</v>
      </c>
      <c r="C127" s="41" t="s">
        <v>7</v>
      </c>
      <c r="D127" s="41" t="s">
        <v>20</v>
      </c>
      <c r="E127" s="41" t="s">
        <v>9</v>
      </c>
      <c r="F127" s="41" t="s">
        <v>19</v>
      </c>
      <c r="G127" s="41">
        <v>7971</v>
      </c>
      <c r="H127" s="41" t="str">
        <f t="shared" si="1"/>
        <v>26-35</v>
      </c>
    </row>
    <row r="128" spans="1:8" x14ac:dyDescent="0.3">
      <c r="A128" s="41">
        <v>124</v>
      </c>
      <c r="B128" s="41">
        <v>52</v>
      </c>
      <c r="C128" s="41" t="s">
        <v>7</v>
      </c>
      <c r="D128" s="41" t="s">
        <v>20</v>
      </c>
      <c r="E128" s="41" t="s">
        <v>14</v>
      </c>
      <c r="F128" s="41" t="s">
        <v>18</v>
      </c>
      <c r="G128" s="41">
        <v>7591</v>
      </c>
      <c r="H128" s="41" t="str">
        <f t="shared" si="1"/>
        <v>46-60</v>
      </c>
    </row>
    <row r="129" spans="1:8" x14ac:dyDescent="0.3">
      <c r="A129" s="41">
        <v>125</v>
      </c>
      <c r="B129" s="41">
        <v>25</v>
      </c>
      <c r="C129" s="41" t="s">
        <v>13</v>
      </c>
      <c r="D129" s="41" t="s">
        <v>8</v>
      </c>
      <c r="E129" s="41" t="s">
        <v>14</v>
      </c>
      <c r="F129" s="41" t="s">
        <v>17</v>
      </c>
      <c r="G129" s="41">
        <v>12472</v>
      </c>
      <c r="H129" s="41" t="str">
        <f t="shared" si="1"/>
        <v>18-25</v>
      </c>
    </row>
    <row r="130" spans="1:8" x14ac:dyDescent="0.3">
      <c r="A130" s="41">
        <v>126</v>
      </c>
      <c r="B130" s="41">
        <v>36</v>
      </c>
      <c r="C130" s="41" t="s">
        <v>7</v>
      </c>
      <c r="D130" s="41" t="s">
        <v>20</v>
      </c>
      <c r="E130" s="41" t="s">
        <v>14</v>
      </c>
      <c r="F130" s="41" t="s">
        <v>10</v>
      </c>
      <c r="G130" s="41">
        <v>5451</v>
      </c>
      <c r="H130" s="41" t="str">
        <f t="shared" si="1"/>
        <v>36-45</v>
      </c>
    </row>
    <row r="131" spans="1:8" x14ac:dyDescent="0.3">
      <c r="A131" s="41">
        <v>127</v>
      </c>
      <c r="B131" s="41">
        <v>55</v>
      </c>
      <c r="C131" s="41" t="s">
        <v>7</v>
      </c>
      <c r="D131" s="41" t="s">
        <v>15</v>
      </c>
      <c r="E131" s="41" t="s">
        <v>21</v>
      </c>
      <c r="F131" s="41" t="s">
        <v>19</v>
      </c>
      <c r="G131" s="41">
        <v>11836</v>
      </c>
      <c r="H131" s="41" t="str">
        <f t="shared" si="1"/>
        <v>46-60</v>
      </c>
    </row>
    <row r="132" spans="1:8" x14ac:dyDescent="0.3">
      <c r="A132" s="41">
        <v>128</v>
      </c>
      <c r="B132" s="41">
        <v>40</v>
      </c>
      <c r="C132" s="41" t="s">
        <v>13</v>
      </c>
      <c r="D132" s="41" t="s">
        <v>20</v>
      </c>
      <c r="E132" s="41" t="s">
        <v>21</v>
      </c>
      <c r="F132" s="41" t="s">
        <v>12</v>
      </c>
      <c r="G132" s="41">
        <v>1607</v>
      </c>
      <c r="H132" s="41" t="str">
        <f t="shared" si="1"/>
        <v>36-45</v>
      </c>
    </row>
    <row r="133" spans="1:8" x14ac:dyDescent="0.3">
      <c r="A133" s="41">
        <v>129</v>
      </c>
      <c r="B133" s="41">
        <v>45</v>
      </c>
      <c r="C133" s="41" t="s">
        <v>7</v>
      </c>
      <c r="D133" s="41" t="s">
        <v>11</v>
      </c>
      <c r="E133" s="41" t="s">
        <v>14</v>
      </c>
      <c r="F133" s="41" t="s">
        <v>10</v>
      </c>
      <c r="G133" s="41">
        <v>1969</v>
      </c>
      <c r="H133" s="41" t="str">
        <f t="shared" si="1"/>
        <v>36-45</v>
      </c>
    </row>
    <row r="134" spans="1:8" x14ac:dyDescent="0.3">
      <c r="A134" s="41">
        <v>130</v>
      </c>
      <c r="B134" s="41">
        <v>24</v>
      </c>
      <c r="C134" s="41" t="s">
        <v>7</v>
      </c>
      <c r="D134" s="41" t="s">
        <v>8</v>
      </c>
      <c r="E134" s="41" t="s">
        <v>9</v>
      </c>
      <c r="F134" s="41" t="s">
        <v>23</v>
      </c>
      <c r="G134" s="41">
        <v>5760</v>
      </c>
      <c r="H134" s="41" t="str">
        <f t="shared" ref="H134:H197" si="2">IF(B134&lt;=25,"18-25",IF(B134&lt;=35,"26-35",IF(B134&lt;=45,"36-45","46-60")))</f>
        <v>18-25</v>
      </c>
    </row>
    <row r="135" spans="1:8" x14ac:dyDescent="0.3">
      <c r="A135" s="41">
        <v>131</v>
      </c>
      <c r="B135" s="41">
        <v>21</v>
      </c>
      <c r="C135" s="41" t="s">
        <v>7</v>
      </c>
      <c r="D135" s="41" t="s">
        <v>8</v>
      </c>
      <c r="E135" s="41" t="s">
        <v>16</v>
      </c>
      <c r="F135" s="41" t="s">
        <v>18</v>
      </c>
      <c r="G135" s="41">
        <v>4986</v>
      </c>
      <c r="H135" s="41" t="str">
        <f t="shared" si="2"/>
        <v>18-25</v>
      </c>
    </row>
    <row r="136" spans="1:8" x14ac:dyDescent="0.3">
      <c r="A136" s="41">
        <v>132</v>
      </c>
      <c r="B136" s="41">
        <v>25</v>
      </c>
      <c r="C136" s="41" t="s">
        <v>13</v>
      </c>
      <c r="D136" s="41" t="s">
        <v>8</v>
      </c>
      <c r="E136" s="41" t="s">
        <v>14</v>
      </c>
      <c r="F136" s="41" t="s">
        <v>17</v>
      </c>
      <c r="G136" s="41">
        <v>10632</v>
      </c>
      <c r="H136" s="41" t="str">
        <f t="shared" si="2"/>
        <v>18-25</v>
      </c>
    </row>
    <row r="137" spans="1:8" x14ac:dyDescent="0.3">
      <c r="A137" s="41">
        <v>133</v>
      </c>
      <c r="B137" s="41">
        <v>22</v>
      </c>
      <c r="C137" s="41" t="s">
        <v>7</v>
      </c>
      <c r="D137" s="41" t="s">
        <v>8</v>
      </c>
      <c r="E137" s="41" t="s">
        <v>14</v>
      </c>
      <c r="F137" s="41" t="s">
        <v>10</v>
      </c>
      <c r="G137" s="41">
        <v>3697</v>
      </c>
      <c r="H137" s="41" t="str">
        <f t="shared" si="2"/>
        <v>18-25</v>
      </c>
    </row>
    <row r="138" spans="1:8" x14ac:dyDescent="0.3">
      <c r="A138" s="41">
        <v>134</v>
      </c>
      <c r="B138" s="41">
        <v>40</v>
      </c>
      <c r="C138" s="41" t="s">
        <v>13</v>
      </c>
      <c r="D138" s="41" t="s">
        <v>22</v>
      </c>
      <c r="E138" s="41" t="s">
        <v>9</v>
      </c>
      <c r="F138" s="41" t="s">
        <v>10</v>
      </c>
      <c r="G138" s="41">
        <v>6366</v>
      </c>
      <c r="H138" s="41" t="str">
        <f t="shared" si="2"/>
        <v>36-45</v>
      </c>
    </row>
    <row r="139" spans="1:8" x14ac:dyDescent="0.3">
      <c r="A139" s="41">
        <v>135</v>
      </c>
      <c r="B139" s="41">
        <v>22</v>
      </c>
      <c r="C139" s="41" t="s">
        <v>13</v>
      </c>
      <c r="D139" s="41" t="s">
        <v>8</v>
      </c>
      <c r="E139" s="41" t="s">
        <v>21</v>
      </c>
      <c r="F139" s="41" t="s">
        <v>10</v>
      </c>
      <c r="G139" s="41">
        <v>2798</v>
      </c>
      <c r="H139" s="41" t="str">
        <f t="shared" si="2"/>
        <v>18-25</v>
      </c>
    </row>
    <row r="140" spans="1:8" x14ac:dyDescent="0.3">
      <c r="A140" s="41">
        <v>136</v>
      </c>
      <c r="B140" s="41">
        <v>35</v>
      </c>
      <c r="C140" s="41" t="s">
        <v>7</v>
      </c>
      <c r="D140" s="41" t="s">
        <v>15</v>
      </c>
      <c r="E140" s="41" t="s">
        <v>16</v>
      </c>
      <c r="F140" s="41" t="s">
        <v>10</v>
      </c>
      <c r="G140" s="41">
        <v>1838</v>
      </c>
      <c r="H140" s="41" t="str">
        <f t="shared" si="2"/>
        <v>26-35</v>
      </c>
    </row>
    <row r="141" spans="1:8" x14ac:dyDescent="0.3">
      <c r="A141" s="41">
        <v>137</v>
      </c>
      <c r="B141" s="41">
        <v>27</v>
      </c>
      <c r="C141" s="41" t="s">
        <v>13</v>
      </c>
      <c r="D141" s="41" t="s">
        <v>20</v>
      </c>
      <c r="E141" s="41" t="s">
        <v>21</v>
      </c>
      <c r="F141" s="41" t="s">
        <v>24</v>
      </c>
      <c r="G141" s="41">
        <v>5096</v>
      </c>
      <c r="H141" s="41" t="str">
        <f t="shared" si="2"/>
        <v>26-35</v>
      </c>
    </row>
    <row r="142" spans="1:8" x14ac:dyDescent="0.3">
      <c r="A142" s="41">
        <v>138</v>
      </c>
      <c r="B142" s="41">
        <v>58</v>
      </c>
      <c r="C142" s="41" t="s">
        <v>13</v>
      </c>
      <c r="D142" s="41" t="s">
        <v>11</v>
      </c>
      <c r="E142" s="41" t="s">
        <v>14</v>
      </c>
      <c r="F142" s="41" t="s">
        <v>23</v>
      </c>
      <c r="G142" s="41">
        <v>7790</v>
      </c>
      <c r="H142" s="41" t="str">
        <f t="shared" si="2"/>
        <v>46-60</v>
      </c>
    </row>
    <row r="143" spans="1:8" x14ac:dyDescent="0.3">
      <c r="A143" s="41">
        <v>139</v>
      </c>
      <c r="B143" s="41">
        <v>40</v>
      </c>
      <c r="C143" s="41" t="s">
        <v>7</v>
      </c>
      <c r="D143" s="41" t="s">
        <v>11</v>
      </c>
      <c r="E143" s="41" t="s">
        <v>14</v>
      </c>
      <c r="F143" s="41" t="s">
        <v>24</v>
      </c>
      <c r="G143" s="41">
        <v>6189</v>
      </c>
      <c r="H143" s="41" t="str">
        <f t="shared" si="2"/>
        <v>36-45</v>
      </c>
    </row>
    <row r="144" spans="1:8" x14ac:dyDescent="0.3">
      <c r="A144" s="41">
        <v>140</v>
      </c>
      <c r="B144" s="41">
        <v>47</v>
      </c>
      <c r="C144" s="41" t="s">
        <v>13</v>
      </c>
      <c r="D144" s="41" t="s">
        <v>20</v>
      </c>
      <c r="E144" s="41" t="s">
        <v>21</v>
      </c>
      <c r="F144" s="41" t="s">
        <v>17</v>
      </c>
      <c r="G144" s="41">
        <v>8075</v>
      </c>
      <c r="H144" s="41" t="str">
        <f t="shared" si="2"/>
        <v>46-60</v>
      </c>
    </row>
    <row r="145" spans="1:8" x14ac:dyDescent="0.3">
      <c r="A145" s="41">
        <v>141</v>
      </c>
      <c r="B145" s="41">
        <v>26</v>
      </c>
      <c r="C145" s="41" t="s">
        <v>13</v>
      </c>
      <c r="D145" s="41" t="s">
        <v>22</v>
      </c>
      <c r="E145" s="41" t="s">
        <v>14</v>
      </c>
      <c r="F145" s="41" t="s">
        <v>17</v>
      </c>
      <c r="G145" s="41">
        <v>13189</v>
      </c>
      <c r="H145" s="41" t="str">
        <f t="shared" si="2"/>
        <v>26-35</v>
      </c>
    </row>
    <row r="146" spans="1:8" x14ac:dyDescent="0.3">
      <c r="A146" s="41">
        <v>142</v>
      </c>
      <c r="B146" s="41">
        <v>35</v>
      </c>
      <c r="C146" s="41" t="s">
        <v>13</v>
      </c>
      <c r="D146" s="41" t="s">
        <v>22</v>
      </c>
      <c r="E146" s="41" t="s">
        <v>14</v>
      </c>
      <c r="F146" s="41" t="s">
        <v>10</v>
      </c>
      <c r="G146" s="41">
        <v>2881</v>
      </c>
      <c r="H146" s="41" t="str">
        <f t="shared" si="2"/>
        <v>26-35</v>
      </c>
    </row>
    <row r="147" spans="1:8" x14ac:dyDescent="0.3">
      <c r="A147" s="41">
        <v>143</v>
      </c>
      <c r="B147" s="41">
        <v>19</v>
      </c>
      <c r="C147" s="41" t="s">
        <v>13</v>
      </c>
      <c r="D147" s="41" t="s">
        <v>8</v>
      </c>
      <c r="E147" s="41" t="s">
        <v>9</v>
      </c>
      <c r="F147" s="41" t="s">
        <v>23</v>
      </c>
      <c r="G147" s="41">
        <v>1267</v>
      </c>
      <c r="H147" s="41" t="str">
        <f t="shared" si="2"/>
        <v>18-25</v>
      </c>
    </row>
    <row r="148" spans="1:8" x14ac:dyDescent="0.3">
      <c r="A148" s="41">
        <v>144</v>
      </c>
      <c r="B148" s="41">
        <v>47</v>
      </c>
      <c r="C148" s="41" t="s">
        <v>13</v>
      </c>
      <c r="D148" s="41" t="s">
        <v>20</v>
      </c>
      <c r="E148" s="41" t="s">
        <v>14</v>
      </c>
      <c r="F148" s="41" t="s">
        <v>12</v>
      </c>
      <c r="G148" s="41">
        <v>4337</v>
      </c>
      <c r="H148" s="41" t="str">
        <f t="shared" si="2"/>
        <v>46-60</v>
      </c>
    </row>
    <row r="149" spans="1:8" x14ac:dyDescent="0.3">
      <c r="A149" s="41">
        <v>145</v>
      </c>
      <c r="B149" s="41">
        <v>29</v>
      </c>
      <c r="C149" s="41" t="s">
        <v>7</v>
      </c>
      <c r="D149" s="41" t="s">
        <v>11</v>
      </c>
      <c r="E149" s="41" t="s">
        <v>9</v>
      </c>
      <c r="F149" s="41" t="s">
        <v>23</v>
      </c>
      <c r="G149" s="41">
        <v>5358</v>
      </c>
      <c r="H149" s="41" t="str">
        <f t="shared" si="2"/>
        <v>26-35</v>
      </c>
    </row>
    <row r="150" spans="1:8" x14ac:dyDescent="0.3">
      <c r="A150" s="41">
        <v>146</v>
      </c>
      <c r="B150" s="41">
        <v>20</v>
      </c>
      <c r="C150" s="41" t="s">
        <v>13</v>
      </c>
      <c r="D150" s="41" t="s">
        <v>8</v>
      </c>
      <c r="E150" s="41" t="s">
        <v>14</v>
      </c>
      <c r="F150" s="41" t="s">
        <v>10</v>
      </c>
      <c r="G150" s="41">
        <v>7330</v>
      </c>
      <c r="H150" s="41" t="str">
        <f t="shared" si="2"/>
        <v>18-25</v>
      </c>
    </row>
    <row r="151" spans="1:8" x14ac:dyDescent="0.3">
      <c r="A151" s="41">
        <v>147</v>
      </c>
      <c r="B151" s="41">
        <v>51</v>
      </c>
      <c r="C151" s="41" t="s">
        <v>7</v>
      </c>
      <c r="D151" s="41" t="s">
        <v>11</v>
      </c>
      <c r="E151" s="41" t="s">
        <v>21</v>
      </c>
      <c r="F151" s="41" t="s">
        <v>10</v>
      </c>
      <c r="G151" s="41">
        <v>5308</v>
      </c>
      <c r="H151" s="41" t="str">
        <f t="shared" si="2"/>
        <v>46-60</v>
      </c>
    </row>
    <row r="152" spans="1:8" x14ac:dyDescent="0.3">
      <c r="A152" s="41">
        <v>148</v>
      </c>
      <c r="B152" s="41">
        <v>26</v>
      </c>
      <c r="C152" s="41" t="s">
        <v>7</v>
      </c>
      <c r="D152" s="41" t="s">
        <v>20</v>
      </c>
      <c r="E152" s="41" t="s">
        <v>9</v>
      </c>
      <c r="F152" s="41" t="s">
        <v>10</v>
      </c>
      <c r="G152" s="41">
        <v>5193</v>
      </c>
      <c r="H152" s="41" t="str">
        <f t="shared" si="2"/>
        <v>26-35</v>
      </c>
    </row>
    <row r="153" spans="1:8" x14ac:dyDescent="0.3">
      <c r="A153" s="41">
        <v>149</v>
      </c>
      <c r="B153" s="41">
        <v>25</v>
      </c>
      <c r="C153" s="41" t="s">
        <v>7</v>
      </c>
      <c r="D153" s="41" t="s">
        <v>22</v>
      </c>
      <c r="E153" s="41" t="s">
        <v>9</v>
      </c>
      <c r="F153" s="41" t="s">
        <v>10</v>
      </c>
      <c r="G153" s="41">
        <v>8154</v>
      </c>
      <c r="H153" s="41" t="str">
        <f t="shared" si="2"/>
        <v>18-25</v>
      </c>
    </row>
    <row r="154" spans="1:8" x14ac:dyDescent="0.3">
      <c r="A154" s="41">
        <v>150</v>
      </c>
      <c r="B154" s="41">
        <v>35</v>
      </c>
      <c r="C154" s="41" t="s">
        <v>7</v>
      </c>
      <c r="D154" s="41" t="s">
        <v>22</v>
      </c>
      <c r="E154" s="41" t="s">
        <v>16</v>
      </c>
      <c r="F154" s="41" t="s">
        <v>18</v>
      </c>
      <c r="G154" s="41">
        <v>4430</v>
      </c>
      <c r="H154" s="41" t="str">
        <f t="shared" si="2"/>
        <v>26-35</v>
      </c>
    </row>
    <row r="155" spans="1:8" x14ac:dyDescent="0.3">
      <c r="A155" s="41">
        <v>151</v>
      </c>
      <c r="B155" s="41">
        <v>48</v>
      </c>
      <c r="C155" s="41" t="s">
        <v>13</v>
      </c>
      <c r="D155" s="41" t="s">
        <v>11</v>
      </c>
      <c r="E155" s="41" t="s">
        <v>14</v>
      </c>
      <c r="F155" s="41" t="s">
        <v>12</v>
      </c>
      <c r="G155" s="41">
        <v>6552</v>
      </c>
      <c r="H155" s="41" t="str">
        <f t="shared" si="2"/>
        <v>46-60</v>
      </c>
    </row>
    <row r="156" spans="1:8" x14ac:dyDescent="0.3">
      <c r="A156" s="41">
        <v>152</v>
      </c>
      <c r="B156" s="41">
        <v>55</v>
      </c>
      <c r="C156" s="41" t="s">
        <v>13</v>
      </c>
      <c r="D156" s="41" t="s">
        <v>20</v>
      </c>
      <c r="E156" s="41" t="s">
        <v>16</v>
      </c>
      <c r="F156" s="41" t="s">
        <v>10</v>
      </c>
      <c r="G156" s="41">
        <v>7346</v>
      </c>
      <c r="H156" s="41" t="str">
        <f t="shared" si="2"/>
        <v>46-60</v>
      </c>
    </row>
    <row r="157" spans="1:8" x14ac:dyDescent="0.3">
      <c r="A157" s="41">
        <v>153</v>
      </c>
      <c r="B157" s="41">
        <v>50</v>
      </c>
      <c r="C157" s="41" t="s">
        <v>7</v>
      </c>
      <c r="D157" s="41" t="s">
        <v>20</v>
      </c>
      <c r="E157" s="41" t="s">
        <v>21</v>
      </c>
      <c r="F157" s="41" t="s">
        <v>10</v>
      </c>
      <c r="G157" s="41">
        <v>3468</v>
      </c>
      <c r="H157" s="41" t="str">
        <f t="shared" si="2"/>
        <v>46-60</v>
      </c>
    </row>
    <row r="158" spans="1:8" x14ac:dyDescent="0.3">
      <c r="A158" s="41">
        <v>154</v>
      </c>
      <c r="B158" s="41">
        <v>23</v>
      </c>
      <c r="C158" s="41" t="s">
        <v>13</v>
      </c>
      <c r="D158" s="41" t="s">
        <v>8</v>
      </c>
      <c r="E158" s="41" t="s">
        <v>21</v>
      </c>
      <c r="F158" s="41" t="s">
        <v>19</v>
      </c>
      <c r="G158" s="41">
        <v>20970</v>
      </c>
      <c r="H158" s="41" t="str">
        <f t="shared" si="2"/>
        <v>18-25</v>
      </c>
    </row>
    <row r="159" spans="1:8" x14ac:dyDescent="0.3">
      <c r="A159" s="41">
        <v>155</v>
      </c>
      <c r="B159" s="41">
        <v>24</v>
      </c>
      <c r="C159" s="41" t="s">
        <v>7</v>
      </c>
      <c r="D159" s="41" t="s">
        <v>8</v>
      </c>
      <c r="E159" s="41" t="s">
        <v>21</v>
      </c>
      <c r="F159" s="41" t="s">
        <v>10</v>
      </c>
      <c r="G159" s="41">
        <v>6194</v>
      </c>
      <c r="H159" s="41" t="str">
        <f t="shared" si="2"/>
        <v>18-25</v>
      </c>
    </row>
    <row r="160" spans="1:8" x14ac:dyDescent="0.3">
      <c r="A160" s="41">
        <v>156</v>
      </c>
      <c r="B160" s="41">
        <v>47</v>
      </c>
      <c r="C160" s="41" t="s">
        <v>7</v>
      </c>
      <c r="D160" s="41" t="s">
        <v>20</v>
      </c>
      <c r="E160" s="41" t="s">
        <v>16</v>
      </c>
      <c r="F160" s="41" t="s">
        <v>19</v>
      </c>
      <c r="G160" s="41">
        <v>10568</v>
      </c>
      <c r="H160" s="41" t="str">
        <f t="shared" si="2"/>
        <v>46-60</v>
      </c>
    </row>
    <row r="161" spans="1:8" x14ac:dyDescent="0.3">
      <c r="A161" s="41">
        <v>157</v>
      </c>
      <c r="B161" s="41">
        <v>39</v>
      </c>
      <c r="C161" s="41" t="s">
        <v>13</v>
      </c>
      <c r="D161" s="41" t="s">
        <v>11</v>
      </c>
      <c r="E161" s="41" t="s">
        <v>14</v>
      </c>
      <c r="F161" s="41" t="s">
        <v>12</v>
      </c>
      <c r="G161" s="41">
        <v>3617</v>
      </c>
      <c r="H161" s="41" t="str">
        <f t="shared" si="2"/>
        <v>36-45</v>
      </c>
    </row>
    <row r="162" spans="1:8" x14ac:dyDescent="0.3">
      <c r="A162" s="41">
        <v>158</v>
      </c>
      <c r="B162" s="41">
        <v>42</v>
      </c>
      <c r="C162" s="41" t="s">
        <v>13</v>
      </c>
      <c r="D162" s="41" t="s">
        <v>20</v>
      </c>
      <c r="E162" s="41" t="s">
        <v>21</v>
      </c>
      <c r="F162" s="41" t="s">
        <v>17</v>
      </c>
      <c r="G162" s="41">
        <v>11945</v>
      </c>
      <c r="H162" s="41" t="str">
        <f t="shared" si="2"/>
        <v>36-45</v>
      </c>
    </row>
    <row r="163" spans="1:8" x14ac:dyDescent="0.3">
      <c r="A163" s="41">
        <v>159</v>
      </c>
      <c r="B163" s="41">
        <v>18</v>
      </c>
      <c r="C163" s="41" t="s">
        <v>7</v>
      </c>
      <c r="D163" s="41" t="s">
        <v>8</v>
      </c>
      <c r="E163" s="41" t="s">
        <v>14</v>
      </c>
      <c r="F163" s="41" t="s">
        <v>19</v>
      </c>
      <c r="G163" s="41">
        <v>8974</v>
      </c>
      <c r="H163" s="41" t="str">
        <f t="shared" si="2"/>
        <v>18-25</v>
      </c>
    </row>
    <row r="164" spans="1:8" x14ac:dyDescent="0.3">
      <c r="A164" s="41">
        <v>160</v>
      </c>
      <c r="B164" s="41">
        <v>32</v>
      </c>
      <c r="C164" s="41" t="s">
        <v>13</v>
      </c>
      <c r="D164" s="41" t="s">
        <v>20</v>
      </c>
      <c r="E164" s="41" t="s">
        <v>14</v>
      </c>
      <c r="F164" s="41" t="s">
        <v>10</v>
      </c>
      <c r="G164" s="41">
        <v>3765</v>
      </c>
      <c r="H164" s="41" t="str">
        <f t="shared" si="2"/>
        <v>26-35</v>
      </c>
    </row>
    <row r="165" spans="1:8" x14ac:dyDescent="0.3">
      <c r="A165" s="41">
        <v>161</v>
      </c>
      <c r="B165" s="41">
        <v>60</v>
      </c>
      <c r="C165" s="41" t="s">
        <v>7</v>
      </c>
      <c r="D165" s="41" t="s">
        <v>15</v>
      </c>
      <c r="E165" s="41" t="s">
        <v>16</v>
      </c>
      <c r="F165" s="41" t="s">
        <v>17</v>
      </c>
      <c r="G165" s="41">
        <v>7871</v>
      </c>
      <c r="H165" s="41" t="str">
        <f t="shared" si="2"/>
        <v>46-60</v>
      </c>
    </row>
    <row r="166" spans="1:8" x14ac:dyDescent="0.3">
      <c r="A166" s="41">
        <v>162</v>
      </c>
      <c r="B166" s="41">
        <v>42</v>
      </c>
      <c r="C166" s="41" t="s">
        <v>13</v>
      </c>
      <c r="D166" s="41" t="s">
        <v>20</v>
      </c>
      <c r="E166" s="41" t="s">
        <v>16</v>
      </c>
      <c r="F166" s="41" t="s">
        <v>17</v>
      </c>
      <c r="G166" s="41">
        <v>13599</v>
      </c>
      <c r="H166" s="41" t="str">
        <f t="shared" si="2"/>
        <v>36-45</v>
      </c>
    </row>
    <row r="167" spans="1:8" x14ac:dyDescent="0.3">
      <c r="A167" s="41">
        <v>163</v>
      </c>
      <c r="B167" s="41">
        <v>41</v>
      </c>
      <c r="C167" s="41" t="s">
        <v>13</v>
      </c>
      <c r="D167" s="41" t="s">
        <v>20</v>
      </c>
      <c r="E167" s="41" t="s">
        <v>9</v>
      </c>
      <c r="F167" s="41" t="s">
        <v>10</v>
      </c>
      <c r="G167" s="41">
        <v>4919</v>
      </c>
      <c r="H167" s="41" t="str">
        <f t="shared" si="2"/>
        <v>36-45</v>
      </c>
    </row>
    <row r="168" spans="1:8" x14ac:dyDescent="0.3">
      <c r="A168" s="41">
        <v>164</v>
      </c>
      <c r="B168" s="41">
        <v>51</v>
      </c>
      <c r="C168" s="41" t="s">
        <v>7</v>
      </c>
      <c r="D168" s="41" t="s">
        <v>20</v>
      </c>
      <c r="E168" s="41" t="s">
        <v>16</v>
      </c>
      <c r="F168" s="41" t="s">
        <v>10</v>
      </c>
      <c r="G168" s="41">
        <v>2714</v>
      </c>
      <c r="H168" s="41" t="str">
        <f t="shared" si="2"/>
        <v>46-60</v>
      </c>
    </row>
    <row r="169" spans="1:8" x14ac:dyDescent="0.3">
      <c r="A169" s="41">
        <v>165</v>
      </c>
      <c r="B169" s="41">
        <v>49</v>
      </c>
      <c r="C169" s="41" t="s">
        <v>13</v>
      </c>
      <c r="D169" s="41" t="s">
        <v>20</v>
      </c>
      <c r="E169" s="41" t="s">
        <v>16</v>
      </c>
      <c r="F169" s="41" t="s">
        <v>18</v>
      </c>
      <c r="G169" s="41">
        <v>833</v>
      </c>
      <c r="H169" s="41" t="str">
        <f t="shared" si="2"/>
        <v>46-60</v>
      </c>
    </row>
    <row r="170" spans="1:8" x14ac:dyDescent="0.3">
      <c r="A170" s="41">
        <v>166</v>
      </c>
      <c r="B170" s="41">
        <v>48</v>
      </c>
      <c r="C170" s="41" t="s">
        <v>13</v>
      </c>
      <c r="D170" s="41" t="s">
        <v>11</v>
      </c>
      <c r="E170" s="41" t="s">
        <v>14</v>
      </c>
      <c r="F170" s="41" t="s">
        <v>10</v>
      </c>
      <c r="G170" s="41">
        <v>7141</v>
      </c>
      <c r="H170" s="41" t="str">
        <f t="shared" si="2"/>
        <v>46-60</v>
      </c>
    </row>
    <row r="171" spans="1:8" x14ac:dyDescent="0.3">
      <c r="A171" s="41">
        <v>167</v>
      </c>
      <c r="B171" s="41">
        <v>29</v>
      </c>
      <c r="C171" s="41" t="s">
        <v>7</v>
      </c>
      <c r="D171" s="41" t="s">
        <v>11</v>
      </c>
      <c r="E171" s="41" t="s">
        <v>21</v>
      </c>
      <c r="F171" s="41" t="s">
        <v>10</v>
      </c>
      <c r="G171" s="41">
        <v>3070</v>
      </c>
      <c r="H171" s="41" t="str">
        <f t="shared" si="2"/>
        <v>26-35</v>
      </c>
    </row>
    <row r="172" spans="1:8" x14ac:dyDescent="0.3">
      <c r="A172" s="41">
        <v>168</v>
      </c>
      <c r="B172" s="41">
        <v>47</v>
      </c>
      <c r="C172" s="41" t="s">
        <v>13</v>
      </c>
      <c r="D172" s="41" t="s">
        <v>20</v>
      </c>
      <c r="E172" s="41" t="s">
        <v>14</v>
      </c>
      <c r="F172" s="41" t="s">
        <v>12</v>
      </c>
      <c r="G172" s="41">
        <v>1085</v>
      </c>
      <c r="H172" s="41" t="str">
        <f t="shared" si="2"/>
        <v>46-60</v>
      </c>
    </row>
    <row r="173" spans="1:8" x14ac:dyDescent="0.3">
      <c r="A173" s="41">
        <v>169</v>
      </c>
      <c r="B173" s="41">
        <v>37</v>
      </c>
      <c r="C173" s="41" t="s">
        <v>13</v>
      </c>
      <c r="D173" s="41" t="s">
        <v>22</v>
      </c>
      <c r="E173" s="41" t="s">
        <v>9</v>
      </c>
      <c r="F173" s="41" t="s">
        <v>17</v>
      </c>
      <c r="G173" s="41">
        <v>8707</v>
      </c>
      <c r="H173" s="41" t="str">
        <f t="shared" si="2"/>
        <v>36-45</v>
      </c>
    </row>
    <row r="174" spans="1:8" x14ac:dyDescent="0.3">
      <c r="A174" s="41">
        <v>170</v>
      </c>
      <c r="B174" s="41">
        <v>47</v>
      </c>
      <c r="C174" s="41" t="s">
        <v>7</v>
      </c>
      <c r="D174" s="41" t="s">
        <v>20</v>
      </c>
      <c r="E174" s="41" t="s">
        <v>14</v>
      </c>
      <c r="F174" s="41" t="s">
        <v>17</v>
      </c>
      <c r="G174" s="41">
        <v>2261</v>
      </c>
      <c r="H174" s="41" t="str">
        <f t="shared" si="2"/>
        <v>46-60</v>
      </c>
    </row>
    <row r="175" spans="1:8" x14ac:dyDescent="0.3">
      <c r="A175" s="41">
        <v>171</v>
      </c>
      <c r="B175" s="41">
        <v>39</v>
      </c>
      <c r="C175" s="41" t="s">
        <v>7</v>
      </c>
      <c r="D175" s="41" t="s">
        <v>11</v>
      </c>
      <c r="E175" s="41" t="s">
        <v>16</v>
      </c>
      <c r="F175" s="41" t="s">
        <v>23</v>
      </c>
      <c r="G175" s="41">
        <v>1920</v>
      </c>
      <c r="H175" s="41" t="str">
        <f t="shared" si="2"/>
        <v>36-45</v>
      </c>
    </row>
    <row r="176" spans="1:8" x14ac:dyDescent="0.3">
      <c r="A176" s="41">
        <v>172</v>
      </c>
      <c r="B176" s="41">
        <v>21</v>
      </c>
      <c r="C176" s="41" t="s">
        <v>7</v>
      </c>
      <c r="D176" s="41" t="s">
        <v>22</v>
      </c>
      <c r="E176" s="41" t="s">
        <v>16</v>
      </c>
      <c r="F176" s="41" t="s">
        <v>18</v>
      </c>
      <c r="G176" s="41">
        <v>3700</v>
      </c>
      <c r="H176" s="41" t="str">
        <f t="shared" si="2"/>
        <v>18-25</v>
      </c>
    </row>
    <row r="177" spans="1:8" x14ac:dyDescent="0.3">
      <c r="A177" s="41">
        <v>173</v>
      </c>
      <c r="B177" s="41">
        <v>46</v>
      </c>
      <c r="C177" s="41" t="s">
        <v>13</v>
      </c>
      <c r="D177" s="41" t="s">
        <v>11</v>
      </c>
      <c r="E177" s="41" t="s">
        <v>14</v>
      </c>
      <c r="F177" s="41" t="s">
        <v>23</v>
      </c>
      <c r="G177" s="41">
        <v>5966</v>
      </c>
      <c r="H177" s="41" t="str">
        <f t="shared" si="2"/>
        <v>46-60</v>
      </c>
    </row>
    <row r="178" spans="1:8" x14ac:dyDescent="0.3">
      <c r="A178" s="41">
        <v>174</v>
      </c>
      <c r="B178" s="41">
        <v>28</v>
      </c>
      <c r="C178" s="41" t="s">
        <v>7</v>
      </c>
      <c r="D178" s="41" t="s">
        <v>22</v>
      </c>
      <c r="E178" s="41" t="s">
        <v>9</v>
      </c>
      <c r="F178" s="41" t="s">
        <v>17</v>
      </c>
      <c r="G178" s="41">
        <v>6416</v>
      </c>
      <c r="H178" s="41" t="str">
        <f t="shared" si="2"/>
        <v>26-35</v>
      </c>
    </row>
    <row r="179" spans="1:8" x14ac:dyDescent="0.3">
      <c r="A179" s="41">
        <v>175</v>
      </c>
      <c r="B179" s="41">
        <v>52</v>
      </c>
      <c r="C179" s="41" t="s">
        <v>7</v>
      </c>
      <c r="D179" s="41" t="s">
        <v>20</v>
      </c>
      <c r="E179" s="41" t="s">
        <v>21</v>
      </c>
      <c r="F179" s="41" t="s">
        <v>17</v>
      </c>
      <c r="G179" s="41">
        <v>10574</v>
      </c>
      <c r="H179" s="41" t="str">
        <f t="shared" si="2"/>
        <v>46-60</v>
      </c>
    </row>
    <row r="180" spans="1:8" x14ac:dyDescent="0.3">
      <c r="A180" s="41">
        <v>176</v>
      </c>
      <c r="B180" s="41">
        <v>51</v>
      </c>
      <c r="C180" s="41" t="s">
        <v>7</v>
      </c>
      <c r="D180" s="41" t="s">
        <v>20</v>
      </c>
      <c r="E180" s="41" t="s">
        <v>16</v>
      </c>
      <c r="F180" s="41" t="s">
        <v>23</v>
      </c>
      <c r="G180" s="41">
        <v>3363</v>
      </c>
      <c r="H180" s="41" t="str">
        <f t="shared" si="2"/>
        <v>46-60</v>
      </c>
    </row>
    <row r="181" spans="1:8" x14ac:dyDescent="0.3">
      <c r="A181" s="41">
        <v>177</v>
      </c>
      <c r="B181" s="41">
        <v>44</v>
      </c>
      <c r="C181" s="41" t="s">
        <v>13</v>
      </c>
      <c r="D181" s="41" t="s">
        <v>22</v>
      </c>
      <c r="E181" s="41" t="s">
        <v>9</v>
      </c>
      <c r="F181" s="41" t="s">
        <v>24</v>
      </c>
      <c r="G181" s="41">
        <v>18155</v>
      </c>
      <c r="H181" s="41" t="str">
        <f t="shared" si="2"/>
        <v>36-45</v>
      </c>
    </row>
    <row r="182" spans="1:8" x14ac:dyDescent="0.3">
      <c r="A182" s="41">
        <v>178</v>
      </c>
      <c r="B182" s="41">
        <v>27</v>
      </c>
      <c r="C182" s="41" t="s">
        <v>7</v>
      </c>
      <c r="D182" s="41" t="s">
        <v>22</v>
      </c>
      <c r="E182" s="41" t="s">
        <v>16</v>
      </c>
      <c r="F182" s="41" t="s">
        <v>17</v>
      </c>
      <c r="G182" s="41">
        <v>4740</v>
      </c>
      <c r="H182" s="41" t="str">
        <f t="shared" si="2"/>
        <v>26-35</v>
      </c>
    </row>
    <row r="183" spans="1:8" x14ac:dyDescent="0.3">
      <c r="A183" s="41">
        <v>179</v>
      </c>
      <c r="B183" s="41">
        <v>20</v>
      </c>
      <c r="C183" s="41" t="s">
        <v>7</v>
      </c>
      <c r="D183" s="41" t="s">
        <v>8</v>
      </c>
      <c r="E183" s="41" t="s">
        <v>14</v>
      </c>
      <c r="F183" s="41" t="s">
        <v>24</v>
      </c>
      <c r="G183" s="41">
        <v>18834</v>
      </c>
      <c r="H183" s="41" t="str">
        <f t="shared" si="2"/>
        <v>18-25</v>
      </c>
    </row>
    <row r="184" spans="1:8" x14ac:dyDescent="0.3">
      <c r="A184" s="41">
        <v>180</v>
      </c>
      <c r="B184" s="41">
        <v>34</v>
      </c>
      <c r="C184" s="41" t="s">
        <v>13</v>
      </c>
      <c r="D184" s="41" t="s">
        <v>20</v>
      </c>
      <c r="E184" s="41" t="s">
        <v>16</v>
      </c>
      <c r="F184" s="41" t="s">
        <v>19</v>
      </c>
      <c r="G184" s="41">
        <v>23751</v>
      </c>
      <c r="H184" s="41" t="str">
        <f t="shared" si="2"/>
        <v>26-35</v>
      </c>
    </row>
    <row r="185" spans="1:8" x14ac:dyDescent="0.3">
      <c r="A185" s="41">
        <v>181</v>
      </c>
      <c r="B185" s="41">
        <v>36</v>
      </c>
      <c r="C185" s="41" t="s">
        <v>13</v>
      </c>
      <c r="D185" s="41" t="s">
        <v>20</v>
      </c>
      <c r="E185" s="41" t="s">
        <v>14</v>
      </c>
      <c r="F185" s="41" t="s">
        <v>10</v>
      </c>
      <c r="G185" s="41">
        <v>5583</v>
      </c>
      <c r="H185" s="41" t="str">
        <f t="shared" si="2"/>
        <v>36-45</v>
      </c>
    </row>
    <row r="186" spans="1:8" x14ac:dyDescent="0.3">
      <c r="A186" s="41">
        <v>182</v>
      </c>
      <c r="B186" s="41">
        <v>35</v>
      </c>
      <c r="C186" s="41" t="s">
        <v>7</v>
      </c>
      <c r="D186" s="41" t="s">
        <v>20</v>
      </c>
      <c r="E186" s="41" t="s">
        <v>21</v>
      </c>
      <c r="F186" s="41" t="s">
        <v>18</v>
      </c>
      <c r="G186" s="41">
        <v>7948</v>
      </c>
      <c r="H186" s="41" t="str">
        <f t="shared" si="2"/>
        <v>26-35</v>
      </c>
    </row>
    <row r="187" spans="1:8" x14ac:dyDescent="0.3">
      <c r="A187" s="41">
        <v>183</v>
      </c>
      <c r="B187" s="41">
        <v>22</v>
      </c>
      <c r="C187" s="41" t="s">
        <v>7</v>
      </c>
      <c r="D187" s="41" t="s">
        <v>8</v>
      </c>
      <c r="E187" s="41" t="s">
        <v>14</v>
      </c>
      <c r="F187" s="41" t="s">
        <v>19</v>
      </c>
      <c r="G187" s="41">
        <v>16874</v>
      </c>
      <c r="H187" s="41" t="str">
        <f t="shared" si="2"/>
        <v>18-25</v>
      </c>
    </row>
    <row r="188" spans="1:8" x14ac:dyDescent="0.3">
      <c r="A188" s="41">
        <v>184</v>
      </c>
      <c r="B188" s="41">
        <v>21</v>
      </c>
      <c r="C188" s="41" t="s">
        <v>7</v>
      </c>
      <c r="D188" s="41" t="s">
        <v>8</v>
      </c>
      <c r="E188" s="41" t="s">
        <v>16</v>
      </c>
      <c r="F188" s="41" t="s">
        <v>10</v>
      </c>
      <c r="G188" s="41">
        <v>5083</v>
      </c>
      <c r="H188" s="41" t="str">
        <f t="shared" si="2"/>
        <v>18-25</v>
      </c>
    </row>
    <row r="189" spans="1:8" x14ac:dyDescent="0.3">
      <c r="A189" s="41">
        <v>185</v>
      </c>
      <c r="B189" s="41">
        <v>45</v>
      </c>
      <c r="C189" s="41" t="s">
        <v>7</v>
      </c>
      <c r="D189" s="41" t="s">
        <v>22</v>
      </c>
      <c r="E189" s="41" t="s">
        <v>16</v>
      </c>
      <c r="F189" s="41" t="s">
        <v>10</v>
      </c>
      <c r="G189" s="41">
        <v>1650</v>
      </c>
      <c r="H189" s="41" t="str">
        <f t="shared" si="2"/>
        <v>36-45</v>
      </c>
    </row>
    <row r="190" spans="1:8" x14ac:dyDescent="0.3">
      <c r="A190" s="41">
        <v>186</v>
      </c>
      <c r="B190" s="41">
        <v>43</v>
      </c>
      <c r="C190" s="41" t="s">
        <v>13</v>
      </c>
      <c r="D190" s="41" t="s">
        <v>22</v>
      </c>
      <c r="E190" s="41" t="s">
        <v>21</v>
      </c>
      <c r="F190" s="41" t="s">
        <v>10</v>
      </c>
      <c r="G190" s="41">
        <v>7363</v>
      </c>
      <c r="H190" s="41" t="str">
        <f t="shared" si="2"/>
        <v>36-45</v>
      </c>
    </row>
    <row r="191" spans="1:8" x14ac:dyDescent="0.3">
      <c r="A191" s="41">
        <v>187</v>
      </c>
      <c r="B191" s="41">
        <v>33</v>
      </c>
      <c r="C191" s="41" t="s">
        <v>7</v>
      </c>
      <c r="D191" s="41" t="s">
        <v>11</v>
      </c>
      <c r="E191" s="41" t="s">
        <v>14</v>
      </c>
      <c r="F191" s="41" t="s">
        <v>12</v>
      </c>
      <c r="G191" s="41">
        <v>2782</v>
      </c>
      <c r="H191" s="41" t="str">
        <f t="shared" si="2"/>
        <v>26-35</v>
      </c>
    </row>
    <row r="192" spans="1:8" x14ac:dyDescent="0.3">
      <c r="A192" s="41">
        <v>188</v>
      </c>
      <c r="B192" s="41">
        <v>21</v>
      </c>
      <c r="C192" s="41" t="s">
        <v>7</v>
      </c>
      <c r="D192" s="41" t="s">
        <v>8</v>
      </c>
      <c r="E192" s="41" t="s">
        <v>16</v>
      </c>
      <c r="F192" s="41" t="s">
        <v>10</v>
      </c>
      <c r="G192" s="41">
        <v>5652</v>
      </c>
      <c r="H192" s="41" t="str">
        <f t="shared" si="2"/>
        <v>18-25</v>
      </c>
    </row>
    <row r="193" spans="1:8" x14ac:dyDescent="0.3">
      <c r="A193" s="41">
        <v>189</v>
      </c>
      <c r="B193" s="41">
        <v>23</v>
      </c>
      <c r="C193" s="41" t="s">
        <v>13</v>
      </c>
      <c r="D193" s="41" t="s">
        <v>8</v>
      </c>
      <c r="E193" s="41" t="s">
        <v>14</v>
      </c>
      <c r="F193" s="41" t="s">
        <v>19</v>
      </c>
      <c r="G193" s="41">
        <v>19311</v>
      </c>
      <c r="H193" s="41" t="str">
        <f t="shared" si="2"/>
        <v>18-25</v>
      </c>
    </row>
    <row r="194" spans="1:8" x14ac:dyDescent="0.3">
      <c r="A194" s="41">
        <v>190</v>
      </c>
      <c r="B194" s="41">
        <v>39</v>
      </c>
      <c r="C194" s="41" t="s">
        <v>13</v>
      </c>
      <c r="D194" s="41" t="s">
        <v>22</v>
      </c>
      <c r="E194" s="41" t="s">
        <v>16</v>
      </c>
      <c r="F194" s="41" t="s">
        <v>24</v>
      </c>
      <c r="G194" s="41">
        <v>17118</v>
      </c>
      <c r="H194" s="41" t="str">
        <f t="shared" si="2"/>
        <v>36-45</v>
      </c>
    </row>
    <row r="195" spans="1:8" x14ac:dyDescent="0.3">
      <c r="A195" s="41">
        <v>191</v>
      </c>
      <c r="B195" s="41">
        <v>23</v>
      </c>
      <c r="C195" s="41" t="s">
        <v>13</v>
      </c>
      <c r="D195" s="41" t="s">
        <v>8</v>
      </c>
      <c r="E195" s="41" t="s">
        <v>14</v>
      </c>
      <c r="F195" s="41" t="s">
        <v>19</v>
      </c>
      <c r="G195" s="41">
        <v>22149</v>
      </c>
      <c r="H195" s="41" t="str">
        <f t="shared" si="2"/>
        <v>18-25</v>
      </c>
    </row>
    <row r="196" spans="1:8" x14ac:dyDescent="0.3">
      <c r="A196" s="41">
        <v>192</v>
      </c>
      <c r="B196" s="41">
        <v>30</v>
      </c>
      <c r="C196" s="41" t="s">
        <v>13</v>
      </c>
      <c r="D196" s="41" t="s">
        <v>20</v>
      </c>
      <c r="E196" s="41" t="s">
        <v>14</v>
      </c>
      <c r="F196" s="41" t="s">
        <v>17</v>
      </c>
      <c r="G196" s="41">
        <v>2394</v>
      </c>
      <c r="H196" s="41" t="str">
        <f t="shared" si="2"/>
        <v>26-35</v>
      </c>
    </row>
    <row r="197" spans="1:8" x14ac:dyDescent="0.3">
      <c r="A197" s="41">
        <v>193</v>
      </c>
      <c r="B197" s="41">
        <v>42</v>
      </c>
      <c r="C197" s="41" t="s">
        <v>7</v>
      </c>
      <c r="D197" s="41" t="s">
        <v>11</v>
      </c>
      <c r="E197" s="41" t="s">
        <v>16</v>
      </c>
      <c r="F197" s="41" t="s">
        <v>10</v>
      </c>
      <c r="G197" s="41">
        <v>1533</v>
      </c>
      <c r="H197" s="41" t="str">
        <f t="shared" si="2"/>
        <v>36-45</v>
      </c>
    </row>
    <row r="198" spans="1:8" x14ac:dyDescent="0.3">
      <c r="A198" s="41">
        <v>194</v>
      </c>
      <c r="B198" s="41">
        <v>32</v>
      </c>
      <c r="C198" s="41" t="s">
        <v>7</v>
      </c>
      <c r="D198" s="41" t="s">
        <v>22</v>
      </c>
      <c r="E198" s="41" t="s">
        <v>16</v>
      </c>
      <c r="F198" s="41" t="s">
        <v>17</v>
      </c>
      <c r="G198" s="41">
        <v>6108</v>
      </c>
      <c r="H198" s="41" t="str">
        <f t="shared" ref="H198:H261" si="3">IF(B198&lt;=25,"18-25",IF(B198&lt;=35,"26-35",IF(B198&lt;=45,"36-45","46-60")))</f>
        <v>26-35</v>
      </c>
    </row>
    <row r="199" spans="1:8" x14ac:dyDescent="0.3">
      <c r="A199" s="41">
        <v>195</v>
      </c>
      <c r="B199" s="41">
        <v>19</v>
      </c>
      <c r="C199" s="41" t="s">
        <v>7</v>
      </c>
      <c r="D199" s="41" t="s">
        <v>8</v>
      </c>
      <c r="E199" s="41" t="s">
        <v>16</v>
      </c>
      <c r="F199" s="41" t="s">
        <v>19</v>
      </c>
      <c r="G199" s="41">
        <v>20042</v>
      </c>
      <c r="H199" s="41" t="str">
        <f t="shared" si="3"/>
        <v>18-25</v>
      </c>
    </row>
    <row r="200" spans="1:8" x14ac:dyDescent="0.3">
      <c r="A200" s="41">
        <v>196</v>
      </c>
      <c r="B200" s="41">
        <v>37</v>
      </c>
      <c r="C200" s="41" t="s">
        <v>7</v>
      </c>
      <c r="D200" s="41" t="s">
        <v>22</v>
      </c>
      <c r="E200" s="41" t="s">
        <v>14</v>
      </c>
      <c r="F200" s="41" t="s">
        <v>24</v>
      </c>
      <c r="G200" s="41">
        <v>12957</v>
      </c>
      <c r="H200" s="41" t="str">
        <f t="shared" si="3"/>
        <v>36-45</v>
      </c>
    </row>
    <row r="201" spans="1:8" x14ac:dyDescent="0.3">
      <c r="A201" s="41">
        <v>197</v>
      </c>
      <c r="B201" s="41">
        <v>38</v>
      </c>
      <c r="C201" s="41" t="s">
        <v>7</v>
      </c>
      <c r="D201" s="41" t="s">
        <v>11</v>
      </c>
      <c r="E201" s="41" t="s">
        <v>21</v>
      </c>
      <c r="F201" s="41" t="s">
        <v>10</v>
      </c>
      <c r="G201" s="41">
        <v>7909</v>
      </c>
      <c r="H201" s="41" t="str">
        <f t="shared" si="3"/>
        <v>36-45</v>
      </c>
    </row>
    <row r="202" spans="1:8" x14ac:dyDescent="0.3">
      <c r="A202" s="41">
        <v>198</v>
      </c>
      <c r="B202" s="41">
        <v>31</v>
      </c>
      <c r="C202" s="41" t="s">
        <v>13</v>
      </c>
      <c r="D202" s="41" t="s">
        <v>15</v>
      </c>
      <c r="E202" s="41" t="s">
        <v>21</v>
      </c>
      <c r="F202" s="41" t="s">
        <v>17</v>
      </c>
      <c r="G202" s="41">
        <v>9574</v>
      </c>
      <c r="H202" s="41" t="str">
        <f t="shared" si="3"/>
        <v>26-35</v>
      </c>
    </row>
    <row r="203" spans="1:8" x14ac:dyDescent="0.3">
      <c r="A203" s="41">
        <v>199</v>
      </c>
      <c r="B203" s="41">
        <v>58</v>
      </c>
      <c r="C203" s="41" t="s">
        <v>13</v>
      </c>
      <c r="D203" s="41" t="s">
        <v>15</v>
      </c>
      <c r="E203" s="41" t="s">
        <v>14</v>
      </c>
      <c r="F203" s="41" t="s">
        <v>12</v>
      </c>
      <c r="G203" s="41">
        <v>6761</v>
      </c>
      <c r="H203" s="41" t="str">
        <f t="shared" si="3"/>
        <v>46-60</v>
      </c>
    </row>
    <row r="204" spans="1:8" x14ac:dyDescent="0.3">
      <c r="A204" s="41">
        <v>200</v>
      </c>
      <c r="B204" s="41">
        <v>33</v>
      </c>
      <c r="C204" s="41" t="s">
        <v>13</v>
      </c>
      <c r="D204" s="41" t="s">
        <v>11</v>
      </c>
      <c r="E204" s="41" t="s">
        <v>9</v>
      </c>
      <c r="F204" s="41" t="s">
        <v>12</v>
      </c>
      <c r="G204" s="41">
        <v>1315</v>
      </c>
      <c r="H204" s="41" t="str">
        <f t="shared" si="3"/>
        <v>26-35</v>
      </c>
    </row>
    <row r="205" spans="1:8" x14ac:dyDescent="0.3">
      <c r="A205" s="41">
        <v>201</v>
      </c>
      <c r="B205" s="41">
        <v>53</v>
      </c>
      <c r="C205" s="41" t="s">
        <v>13</v>
      </c>
      <c r="D205" s="41" t="s">
        <v>11</v>
      </c>
      <c r="E205" s="41" t="s">
        <v>16</v>
      </c>
      <c r="F205" s="41" t="s">
        <v>10</v>
      </c>
      <c r="G205" s="41">
        <v>5607</v>
      </c>
      <c r="H205" s="41" t="str">
        <f t="shared" si="3"/>
        <v>46-60</v>
      </c>
    </row>
    <row r="206" spans="1:8" x14ac:dyDescent="0.3">
      <c r="A206" s="41">
        <v>202</v>
      </c>
      <c r="B206" s="41">
        <v>24</v>
      </c>
      <c r="C206" s="41" t="s">
        <v>7</v>
      </c>
      <c r="D206" s="41" t="s">
        <v>8</v>
      </c>
      <c r="E206" s="41" t="s">
        <v>9</v>
      </c>
      <c r="F206" s="41" t="s">
        <v>10</v>
      </c>
      <c r="G206" s="41">
        <v>5305</v>
      </c>
      <c r="H206" s="41" t="str">
        <f t="shared" si="3"/>
        <v>18-25</v>
      </c>
    </row>
    <row r="207" spans="1:8" x14ac:dyDescent="0.3">
      <c r="A207" s="41">
        <v>203</v>
      </c>
      <c r="B207" s="41">
        <v>46</v>
      </c>
      <c r="C207" s="41" t="s">
        <v>7</v>
      </c>
      <c r="D207" s="41" t="s">
        <v>22</v>
      </c>
      <c r="E207" s="41" t="s">
        <v>9</v>
      </c>
      <c r="F207" s="41" t="s">
        <v>12</v>
      </c>
      <c r="G207" s="41">
        <v>5983</v>
      </c>
      <c r="H207" s="41" t="str">
        <f t="shared" si="3"/>
        <v>46-60</v>
      </c>
    </row>
    <row r="208" spans="1:8" x14ac:dyDescent="0.3">
      <c r="A208" s="41">
        <v>204</v>
      </c>
      <c r="B208" s="41">
        <v>50</v>
      </c>
      <c r="C208" s="41" t="s">
        <v>7</v>
      </c>
      <c r="D208" s="41" t="s">
        <v>22</v>
      </c>
      <c r="E208" s="41" t="s">
        <v>14</v>
      </c>
      <c r="F208" s="41" t="s">
        <v>10</v>
      </c>
      <c r="G208" s="41">
        <v>3336</v>
      </c>
      <c r="H208" s="41" t="str">
        <f t="shared" si="3"/>
        <v>46-60</v>
      </c>
    </row>
    <row r="209" spans="1:8" x14ac:dyDescent="0.3">
      <c r="A209" s="41">
        <v>205</v>
      </c>
      <c r="B209" s="41">
        <v>54</v>
      </c>
      <c r="C209" s="41" t="s">
        <v>7</v>
      </c>
      <c r="D209" s="41" t="s">
        <v>15</v>
      </c>
      <c r="E209" s="41" t="s">
        <v>16</v>
      </c>
      <c r="F209" s="41" t="s">
        <v>10</v>
      </c>
      <c r="G209" s="41">
        <v>8670</v>
      </c>
      <c r="H209" s="41" t="str">
        <f t="shared" si="3"/>
        <v>46-60</v>
      </c>
    </row>
    <row r="210" spans="1:8" x14ac:dyDescent="0.3">
      <c r="A210" s="41">
        <v>206</v>
      </c>
      <c r="B210" s="41">
        <v>53</v>
      </c>
      <c r="C210" s="41" t="s">
        <v>7</v>
      </c>
      <c r="D210" s="41" t="s">
        <v>11</v>
      </c>
      <c r="E210" s="41" t="s">
        <v>14</v>
      </c>
      <c r="F210" s="41" t="s">
        <v>23</v>
      </c>
      <c r="G210" s="41">
        <v>6070</v>
      </c>
      <c r="H210" s="41" t="str">
        <f t="shared" si="3"/>
        <v>46-60</v>
      </c>
    </row>
    <row r="211" spans="1:8" x14ac:dyDescent="0.3">
      <c r="A211" s="41">
        <v>207</v>
      </c>
      <c r="B211" s="41">
        <v>39</v>
      </c>
      <c r="C211" s="41" t="s">
        <v>13</v>
      </c>
      <c r="D211" s="41" t="s">
        <v>20</v>
      </c>
      <c r="E211" s="41" t="s">
        <v>16</v>
      </c>
      <c r="F211" s="41" t="s">
        <v>24</v>
      </c>
      <c r="G211" s="41">
        <v>6174</v>
      </c>
      <c r="H211" s="41" t="str">
        <f t="shared" si="3"/>
        <v>36-45</v>
      </c>
    </row>
    <row r="212" spans="1:8" x14ac:dyDescent="0.3">
      <c r="A212" s="41">
        <v>208</v>
      </c>
      <c r="B212" s="41">
        <v>24</v>
      </c>
      <c r="C212" s="41" t="s">
        <v>13</v>
      </c>
      <c r="D212" s="41" t="s">
        <v>8</v>
      </c>
      <c r="E212" s="41" t="s">
        <v>21</v>
      </c>
      <c r="F212" s="41" t="s">
        <v>19</v>
      </c>
      <c r="G212" s="41">
        <v>6977</v>
      </c>
      <c r="H212" s="41" t="str">
        <f t="shared" si="3"/>
        <v>18-25</v>
      </c>
    </row>
    <row r="213" spans="1:8" x14ac:dyDescent="0.3">
      <c r="A213" s="41">
        <v>209</v>
      </c>
      <c r="B213" s="41">
        <v>42</v>
      </c>
      <c r="C213" s="41" t="s">
        <v>13</v>
      </c>
      <c r="D213" s="41" t="s">
        <v>11</v>
      </c>
      <c r="E213" s="41" t="s">
        <v>14</v>
      </c>
      <c r="F213" s="41" t="s">
        <v>10</v>
      </c>
      <c r="G213" s="41">
        <v>6515</v>
      </c>
      <c r="H213" s="41" t="str">
        <f t="shared" si="3"/>
        <v>36-45</v>
      </c>
    </row>
    <row r="214" spans="1:8" x14ac:dyDescent="0.3">
      <c r="A214" s="41">
        <v>210</v>
      </c>
      <c r="B214" s="41">
        <v>43</v>
      </c>
      <c r="C214" s="41" t="s">
        <v>7</v>
      </c>
      <c r="D214" s="41" t="s">
        <v>11</v>
      </c>
      <c r="E214" s="41" t="s">
        <v>14</v>
      </c>
      <c r="F214" s="41" t="s">
        <v>10</v>
      </c>
      <c r="G214" s="41">
        <v>7124</v>
      </c>
      <c r="H214" s="41" t="str">
        <f t="shared" si="3"/>
        <v>36-45</v>
      </c>
    </row>
    <row r="215" spans="1:8" x14ac:dyDescent="0.3">
      <c r="A215" s="41">
        <v>211</v>
      </c>
      <c r="B215" s="41">
        <v>27</v>
      </c>
      <c r="C215" s="41" t="s">
        <v>13</v>
      </c>
      <c r="D215" s="41" t="s">
        <v>20</v>
      </c>
      <c r="E215" s="41" t="s">
        <v>16</v>
      </c>
      <c r="F215" s="41" t="s">
        <v>12</v>
      </c>
      <c r="G215" s="41">
        <v>4022</v>
      </c>
      <c r="H215" s="41" t="str">
        <f t="shared" si="3"/>
        <v>26-35</v>
      </c>
    </row>
    <row r="216" spans="1:8" x14ac:dyDescent="0.3">
      <c r="A216" s="41">
        <v>212</v>
      </c>
      <c r="B216" s="41">
        <v>24</v>
      </c>
      <c r="C216" s="41" t="s">
        <v>7</v>
      </c>
      <c r="D216" s="41" t="s">
        <v>20</v>
      </c>
      <c r="E216" s="41" t="s">
        <v>14</v>
      </c>
      <c r="F216" s="41" t="s">
        <v>17</v>
      </c>
      <c r="G216" s="41">
        <v>11979</v>
      </c>
      <c r="H216" s="41" t="str">
        <f t="shared" si="3"/>
        <v>18-25</v>
      </c>
    </row>
    <row r="217" spans="1:8" x14ac:dyDescent="0.3">
      <c r="A217" s="41">
        <v>213</v>
      </c>
      <c r="B217" s="41">
        <v>51</v>
      </c>
      <c r="C217" s="41" t="s">
        <v>13</v>
      </c>
      <c r="D217" s="41" t="s">
        <v>20</v>
      </c>
      <c r="E217" s="41" t="s">
        <v>14</v>
      </c>
      <c r="F217" s="41" t="s">
        <v>17</v>
      </c>
      <c r="G217" s="41">
        <v>12126</v>
      </c>
      <c r="H217" s="41" t="str">
        <f t="shared" si="3"/>
        <v>46-60</v>
      </c>
    </row>
    <row r="218" spans="1:8" x14ac:dyDescent="0.3">
      <c r="A218" s="41">
        <v>214</v>
      </c>
      <c r="B218" s="41">
        <v>22</v>
      </c>
      <c r="C218" s="41" t="s">
        <v>13</v>
      </c>
      <c r="D218" s="41" t="s">
        <v>8</v>
      </c>
      <c r="E218" s="41" t="s">
        <v>9</v>
      </c>
      <c r="F218" s="41" t="s">
        <v>10</v>
      </c>
      <c r="G218" s="41">
        <v>2162</v>
      </c>
      <c r="H218" s="41" t="str">
        <f t="shared" si="3"/>
        <v>18-25</v>
      </c>
    </row>
    <row r="219" spans="1:8" x14ac:dyDescent="0.3">
      <c r="A219" s="41">
        <v>215</v>
      </c>
      <c r="B219" s="41">
        <v>37</v>
      </c>
      <c r="C219" s="41" t="s">
        <v>7</v>
      </c>
      <c r="D219" s="41" t="s">
        <v>20</v>
      </c>
      <c r="E219" s="41" t="s">
        <v>21</v>
      </c>
      <c r="F219" s="41" t="s">
        <v>12</v>
      </c>
      <c r="G219" s="41">
        <v>863</v>
      </c>
      <c r="H219" s="41" t="str">
        <f t="shared" si="3"/>
        <v>36-45</v>
      </c>
    </row>
    <row r="220" spans="1:8" x14ac:dyDescent="0.3">
      <c r="A220" s="41">
        <v>216</v>
      </c>
      <c r="B220" s="41">
        <v>22</v>
      </c>
      <c r="C220" s="41" t="s">
        <v>13</v>
      </c>
      <c r="D220" s="41" t="s">
        <v>20</v>
      </c>
      <c r="E220" s="41" t="s">
        <v>21</v>
      </c>
      <c r="F220" s="41" t="s">
        <v>24</v>
      </c>
      <c r="G220" s="41">
        <v>11705</v>
      </c>
      <c r="H220" s="41" t="str">
        <f t="shared" si="3"/>
        <v>18-25</v>
      </c>
    </row>
    <row r="221" spans="1:8" x14ac:dyDescent="0.3">
      <c r="A221" s="41">
        <v>217</v>
      </c>
      <c r="B221" s="41">
        <v>25</v>
      </c>
      <c r="C221" s="41" t="s">
        <v>13</v>
      </c>
      <c r="D221" s="41" t="s">
        <v>20</v>
      </c>
      <c r="E221" s="41" t="s">
        <v>21</v>
      </c>
      <c r="F221" s="41" t="s">
        <v>17</v>
      </c>
      <c r="G221" s="41">
        <v>1652</v>
      </c>
      <c r="H221" s="41" t="str">
        <f t="shared" si="3"/>
        <v>18-25</v>
      </c>
    </row>
    <row r="222" spans="1:8" x14ac:dyDescent="0.3">
      <c r="A222" s="41">
        <v>218</v>
      </c>
      <c r="B222" s="41">
        <v>31</v>
      </c>
      <c r="C222" s="41" t="s">
        <v>7</v>
      </c>
      <c r="D222" s="41" t="s">
        <v>20</v>
      </c>
      <c r="E222" s="41" t="s">
        <v>16</v>
      </c>
      <c r="F222" s="41" t="s">
        <v>10</v>
      </c>
      <c r="G222" s="41">
        <v>5266</v>
      </c>
      <c r="H222" s="41" t="str">
        <f t="shared" si="3"/>
        <v>26-35</v>
      </c>
    </row>
    <row r="223" spans="1:8" x14ac:dyDescent="0.3">
      <c r="A223" s="41">
        <v>219</v>
      </c>
      <c r="B223" s="41">
        <v>26</v>
      </c>
      <c r="C223" s="41" t="s">
        <v>13</v>
      </c>
      <c r="D223" s="41" t="s">
        <v>15</v>
      </c>
      <c r="E223" s="41" t="s">
        <v>16</v>
      </c>
      <c r="F223" s="41" t="s">
        <v>10</v>
      </c>
      <c r="G223" s="41">
        <v>7930</v>
      </c>
      <c r="H223" s="41" t="str">
        <f t="shared" si="3"/>
        <v>26-35</v>
      </c>
    </row>
    <row r="224" spans="1:8" x14ac:dyDescent="0.3">
      <c r="A224" s="41">
        <v>220</v>
      </c>
      <c r="B224" s="41">
        <v>55</v>
      </c>
      <c r="C224" s="41" t="s">
        <v>13</v>
      </c>
      <c r="D224" s="41" t="s">
        <v>20</v>
      </c>
      <c r="E224" s="41" t="s">
        <v>16</v>
      </c>
      <c r="F224" s="41" t="s">
        <v>12</v>
      </c>
      <c r="G224" s="41">
        <v>2784</v>
      </c>
      <c r="H224" s="41" t="str">
        <f t="shared" si="3"/>
        <v>46-60</v>
      </c>
    </row>
    <row r="225" spans="1:8" x14ac:dyDescent="0.3">
      <c r="A225" s="41">
        <v>221</v>
      </c>
      <c r="B225" s="41">
        <v>52</v>
      </c>
      <c r="C225" s="41" t="s">
        <v>7</v>
      </c>
      <c r="D225" s="41" t="s">
        <v>20</v>
      </c>
      <c r="E225" s="41" t="s">
        <v>14</v>
      </c>
      <c r="F225" s="41" t="s">
        <v>19</v>
      </c>
      <c r="G225" s="41">
        <v>18950</v>
      </c>
      <c r="H225" s="41" t="str">
        <f t="shared" si="3"/>
        <v>46-60</v>
      </c>
    </row>
    <row r="226" spans="1:8" x14ac:dyDescent="0.3">
      <c r="A226" s="41">
        <v>222</v>
      </c>
      <c r="B226" s="41">
        <v>22</v>
      </c>
      <c r="C226" s="41" t="s">
        <v>13</v>
      </c>
      <c r="D226" s="41" t="s">
        <v>8</v>
      </c>
      <c r="E226" s="41" t="s">
        <v>21</v>
      </c>
      <c r="F226" s="41" t="s">
        <v>23</v>
      </c>
      <c r="G226" s="41">
        <v>6621</v>
      </c>
      <c r="H226" s="41" t="str">
        <f t="shared" si="3"/>
        <v>18-25</v>
      </c>
    </row>
    <row r="227" spans="1:8" x14ac:dyDescent="0.3">
      <c r="A227" s="41">
        <v>223</v>
      </c>
      <c r="B227" s="41">
        <v>39</v>
      </c>
      <c r="C227" s="41" t="s">
        <v>13</v>
      </c>
      <c r="D227" s="41" t="s">
        <v>22</v>
      </c>
      <c r="E227" s="41" t="s">
        <v>14</v>
      </c>
      <c r="F227" s="41" t="s">
        <v>10</v>
      </c>
      <c r="G227" s="41">
        <v>8901</v>
      </c>
      <c r="H227" s="41" t="str">
        <f t="shared" si="3"/>
        <v>36-45</v>
      </c>
    </row>
    <row r="228" spans="1:8" x14ac:dyDescent="0.3">
      <c r="A228" s="41">
        <v>224</v>
      </c>
      <c r="B228" s="41">
        <v>33</v>
      </c>
      <c r="C228" s="41" t="s">
        <v>7</v>
      </c>
      <c r="D228" s="41" t="s">
        <v>20</v>
      </c>
      <c r="E228" s="41" t="s">
        <v>16</v>
      </c>
      <c r="F228" s="41" t="s">
        <v>24</v>
      </c>
      <c r="G228" s="41">
        <v>6562</v>
      </c>
      <c r="H228" s="41" t="str">
        <f t="shared" si="3"/>
        <v>26-35</v>
      </c>
    </row>
    <row r="229" spans="1:8" x14ac:dyDescent="0.3">
      <c r="A229" s="41">
        <v>225</v>
      </c>
      <c r="B229" s="41">
        <v>53</v>
      </c>
      <c r="C229" s="41" t="s">
        <v>7</v>
      </c>
      <c r="D229" s="41" t="s">
        <v>20</v>
      </c>
      <c r="E229" s="41" t="s">
        <v>9</v>
      </c>
      <c r="F229" s="41" t="s">
        <v>12</v>
      </c>
      <c r="G229" s="41">
        <v>1718</v>
      </c>
      <c r="H229" s="41" t="str">
        <f t="shared" si="3"/>
        <v>46-60</v>
      </c>
    </row>
    <row r="230" spans="1:8" x14ac:dyDescent="0.3">
      <c r="A230" s="41">
        <v>226</v>
      </c>
      <c r="B230" s="41">
        <v>55</v>
      </c>
      <c r="C230" s="41" t="s">
        <v>7</v>
      </c>
      <c r="D230" s="41" t="s">
        <v>15</v>
      </c>
      <c r="E230" s="41" t="s">
        <v>16</v>
      </c>
      <c r="F230" s="41" t="s">
        <v>12</v>
      </c>
      <c r="G230" s="41">
        <v>3840</v>
      </c>
      <c r="H230" s="41" t="str">
        <f t="shared" si="3"/>
        <v>46-60</v>
      </c>
    </row>
    <row r="231" spans="1:8" x14ac:dyDescent="0.3">
      <c r="A231" s="41">
        <v>227</v>
      </c>
      <c r="B231" s="41">
        <v>21</v>
      </c>
      <c r="C231" s="41" t="s">
        <v>13</v>
      </c>
      <c r="D231" s="41" t="s">
        <v>22</v>
      </c>
      <c r="E231" s="41" t="s">
        <v>9</v>
      </c>
      <c r="F231" s="41" t="s">
        <v>24</v>
      </c>
      <c r="G231" s="41">
        <v>15389</v>
      </c>
      <c r="H231" s="41" t="str">
        <f t="shared" si="3"/>
        <v>18-25</v>
      </c>
    </row>
    <row r="232" spans="1:8" x14ac:dyDescent="0.3">
      <c r="A232" s="41">
        <v>228</v>
      </c>
      <c r="B232" s="41">
        <v>25</v>
      </c>
      <c r="C232" s="41" t="s">
        <v>7</v>
      </c>
      <c r="D232" s="41" t="s">
        <v>8</v>
      </c>
      <c r="E232" s="41" t="s">
        <v>14</v>
      </c>
      <c r="F232" s="41" t="s">
        <v>10</v>
      </c>
      <c r="G232" s="41">
        <v>4625</v>
      </c>
      <c r="H232" s="41" t="str">
        <f t="shared" si="3"/>
        <v>18-25</v>
      </c>
    </row>
    <row r="233" spans="1:8" x14ac:dyDescent="0.3">
      <c r="A233" s="41">
        <v>229</v>
      </c>
      <c r="B233" s="41">
        <v>24</v>
      </c>
      <c r="C233" s="41" t="s">
        <v>7</v>
      </c>
      <c r="D233" s="41" t="s">
        <v>8</v>
      </c>
      <c r="E233" s="41" t="s">
        <v>16</v>
      </c>
      <c r="F233" s="41" t="s">
        <v>19</v>
      </c>
      <c r="G233" s="41">
        <v>9476</v>
      </c>
      <c r="H233" s="41" t="str">
        <f t="shared" si="3"/>
        <v>18-25</v>
      </c>
    </row>
    <row r="234" spans="1:8" x14ac:dyDescent="0.3">
      <c r="A234" s="41">
        <v>230</v>
      </c>
      <c r="B234" s="41">
        <v>21</v>
      </c>
      <c r="C234" s="41" t="s">
        <v>13</v>
      </c>
      <c r="D234" s="41" t="s">
        <v>8</v>
      </c>
      <c r="E234" s="41" t="s">
        <v>9</v>
      </c>
      <c r="F234" s="41" t="s">
        <v>24</v>
      </c>
      <c r="G234" s="41">
        <v>8131</v>
      </c>
      <c r="H234" s="41" t="str">
        <f t="shared" si="3"/>
        <v>18-25</v>
      </c>
    </row>
    <row r="235" spans="1:8" x14ac:dyDescent="0.3">
      <c r="A235" s="41">
        <v>231</v>
      </c>
      <c r="B235" s="41">
        <v>22</v>
      </c>
      <c r="C235" s="41" t="s">
        <v>7</v>
      </c>
      <c r="D235" s="41" t="s">
        <v>20</v>
      </c>
      <c r="E235" s="41" t="s">
        <v>9</v>
      </c>
      <c r="F235" s="41" t="s">
        <v>24</v>
      </c>
      <c r="G235" s="41">
        <v>4682</v>
      </c>
      <c r="H235" s="41" t="str">
        <f t="shared" si="3"/>
        <v>18-25</v>
      </c>
    </row>
    <row r="236" spans="1:8" x14ac:dyDescent="0.3">
      <c r="A236" s="41">
        <v>232</v>
      </c>
      <c r="B236" s="41">
        <v>24</v>
      </c>
      <c r="C236" s="41" t="s">
        <v>7</v>
      </c>
      <c r="D236" s="41" t="s">
        <v>8</v>
      </c>
      <c r="E236" s="41" t="s">
        <v>9</v>
      </c>
      <c r="F236" s="41" t="s">
        <v>18</v>
      </c>
      <c r="G236" s="41">
        <v>4330</v>
      </c>
      <c r="H236" s="41" t="str">
        <f t="shared" si="3"/>
        <v>18-25</v>
      </c>
    </row>
    <row r="237" spans="1:8" x14ac:dyDescent="0.3">
      <c r="A237" s="41">
        <v>233</v>
      </c>
      <c r="B237" s="41">
        <v>56</v>
      </c>
      <c r="C237" s="41" t="s">
        <v>7</v>
      </c>
      <c r="D237" s="41" t="s">
        <v>11</v>
      </c>
      <c r="E237" s="41" t="s">
        <v>14</v>
      </c>
      <c r="F237" s="41" t="s">
        <v>12</v>
      </c>
      <c r="G237" s="41">
        <v>2283</v>
      </c>
      <c r="H237" s="41" t="str">
        <f t="shared" si="3"/>
        <v>46-60</v>
      </c>
    </row>
    <row r="238" spans="1:8" x14ac:dyDescent="0.3">
      <c r="A238" s="41">
        <v>234</v>
      </c>
      <c r="B238" s="41">
        <v>52</v>
      </c>
      <c r="C238" s="41" t="s">
        <v>13</v>
      </c>
      <c r="D238" s="41" t="s">
        <v>11</v>
      </c>
      <c r="E238" s="41" t="s">
        <v>9</v>
      </c>
      <c r="F238" s="41" t="s">
        <v>10</v>
      </c>
      <c r="G238" s="41">
        <v>7512</v>
      </c>
      <c r="H238" s="41" t="str">
        <f t="shared" si="3"/>
        <v>46-60</v>
      </c>
    </row>
    <row r="239" spans="1:8" x14ac:dyDescent="0.3">
      <c r="A239" s="41">
        <v>235</v>
      </c>
      <c r="B239" s="41">
        <v>18</v>
      </c>
      <c r="C239" s="41" t="s">
        <v>7</v>
      </c>
      <c r="D239" s="41" t="s">
        <v>8</v>
      </c>
      <c r="E239" s="41" t="s">
        <v>14</v>
      </c>
      <c r="F239" s="41" t="s">
        <v>23</v>
      </c>
      <c r="G239" s="41">
        <v>2653</v>
      </c>
      <c r="H239" s="41" t="str">
        <f t="shared" si="3"/>
        <v>18-25</v>
      </c>
    </row>
    <row r="240" spans="1:8" x14ac:dyDescent="0.3">
      <c r="A240" s="41">
        <v>236</v>
      </c>
      <c r="B240" s="41">
        <v>23</v>
      </c>
      <c r="C240" s="41" t="s">
        <v>7</v>
      </c>
      <c r="D240" s="41" t="s">
        <v>8</v>
      </c>
      <c r="E240" s="41" t="s">
        <v>14</v>
      </c>
      <c r="F240" s="41" t="s">
        <v>17</v>
      </c>
      <c r="G240" s="41">
        <v>3763</v>
      </c>
      <c r="H240" s="41" t="str">
        <f t="shared" si="3"/>
        <v>18-25</v>
      </c>
    </row>
    <row r="241" spans="1:8" x14ac:dyDescent="0.3">
      <c r="A241" s="41">
        <v>237</v>
      </c>
      <c r="B241" s="41">
        <v>24</v>
      </c>
      <c r="C241" s="41" t="s">
        <v>7</v>
      </c>
      <c r="D241" s="41" t="s">
        <v>20</v>
      </c>
      <c r="E241" s="41" t="s">
        <v>9</v>
      </c>
      <c r="F241" s="41" t="s">
        <v>17</v>
      </c>
      <c r="G241" s="41">
        <v>1487</v>
      </c>
      <c r="H241" s="41" t="str">
        <f t="shared" si="3"/>
        <v>18-25</v>
      </c>
    </row>
    <row r="242" spans="1:8" x14ac:dyDescent="0.3">
      <c r="A242" s="41">
        <v>238</v>
      </c>
      <c r="B242" s="41">
        <v>38</v>
      </c>
      <c r="C242" s="41" t="s">
        <v>13</v>
      </c>
      <c r="D242" s="41" t="s">
        <v>22</v>
      </c>
      <c r="E242" s="41" t="s">
        <v>9</v>
      </c>
      <c r="F242" s="41" t="s">
        <v>23</v>
      </c>
      <c r="G242" s="41">
        <v>5255</v>
      </c>
      <c r="H242" s="41" t="str">
        <f t="shared" si="3"/>
        <v>36-45</v>
      </c>
    </row>
    <row r="243" spans="1:8" x14ac:dyDescent="0.3">
      <c r="A243" s="41">
        <v>239</v>
      </c>
      <c r="B243" s="41">
        <v>59</v>
      </c>
      <c r="C243" s="41" t="s">
        <v>13</v>
      </c>
      <c r="D243" s="41" t="s">
        <v>11</v>
      </c>
      <c r="E243" s="41" t="s">
        <v>16</v>
      </c>
      <c r="F243" s="41" t="s">
        <v>18</v>
      </c>
      <c r="G243" s="41">
        <v>7877</v>
      </c>
      <c r="H243" s="41" t="str">
        <f t="shared" si="3"/>
        <v>46-60</v>
      </c>
    </row>
    <row r="244" spans="1:8" x14ac:dyDescent="0.3">
      <c r="A244" s="41">
        <v>240</v>
      </c>
      <c r="B244" s="41">
        <v>57</v>
      </c>
      <c r="C244" s="41" t="s">
        <v>7</v>
      </c>
      <c r="D244" s="41" t="s">
        <v>11</v>
      </c>
      <c r="E244" s="41" t="s">
        <v>16</v>
      </c>
      <c r="F244" s="41" t="s">
        <v>10</v>
      </c>
      <c r="G244" s="41">
        <v>3672</v>
      </c>
      <c r="H244" s="41" t="str">
        <f t="shared" si="3"/>
        <v>46-60</v>
      </c>
    </row>
    <row r="245" spans="1:8" x14ac:dyDescent="0.3">
      <c r="A245" s="41">
        <v>241</v>
      </c>
      <c r="B245" s="41">
        <v>59</v>
      </c>
      <c r="C245" s="41" t="s">
        <v>7</v>
      </c>
      <c r="D245" s="41" t="s">
        <v>11</v>
      </c>
      <c r="E245" s="41" t="s">
        <v>9</v>
      </c>
      <c r="F245" s="41" t="s">
        <v>23</v>
      </c>
      <c r="G245" s="41">
        <v>10147</v>
      </c>
      <c r="H245" s="41" t="str">
        <f t="shared" si="3"/>
        <v>46-60</v>
      </c>
    </row>
    <row r="246" spans="1:8" x14ac:dyDescent="0.3">
      <c r="A246" s="41">
        <v>242</v>
      </c>
      <c r="B246" s="41">
        <v>21</v>
      </c>
      <c r="C246" s="41" t="s">
        <v>7</v>
      </c>
      <c r="D246" s="41" t="s">
        <v>8</v>
      </c>
      <c r="E246" s="41" t="s">
        <v>21</v>
      </c>
      <c r="F246" s="41" t="s">
        <v>10</v>
      </c>
      <c r="G246" s="41">
        <v>2884</v>
      </c>
      <c r="H246" s="41" t="str">
        <f t="shared" si="3"/>
        <v>18-25</v>
      </c>
    </row>
    <row r="247" spans="1:8" x14ac:dyDescent="0.3">
      <c r="A247" s="41">
        <v>243</v>
      </c>
      <c r="B247" s="41">
        <v>51</v>
      </c>
      <c r="C247" s="41" t="s">
        <v>7</v>
      </c>
      <c r="D247" s="41" t="s">
        <v>11</v>
      </c>
      <c r="E247" s="41" t="s">
        <v>16</v>
      </c>
      <c r="F247" s="41" t="s">
        <v>12</v>
      </c>
      <c r="G247" s="41">
        <v>3132</v>
      </c>
      <c r="H247" s="41" t="str">
        <f t="shared" si="3"/>
        <v>46-60</v>
      </c>
    </row>
    <row r="248" spans="1:8" x14ac:dyDescent="0.3">
      <c r="A248" s="41">
        <v>244</v>
      </c>
      <c r="B248" s="41">
        <v>24</v>
      </c>
      <c r="C248" s="41" t="s">
        <v>13</v>
      </c>
      <c r="D248" s="41" t="s">
        <v>20</v>
      </c>
      <c r="E248" s="41" t="s">
        <v>21</v>
      </c>
      <c r="F248" s="41" t="s">
        <v>10</v>
      </c>
      <c r="G248" s="41">
        <v>6658</v>
      </c>
      <c r="H248" s="41" t="str">
        <f t="shared" si="3"/>
        <v>18-25</v>
      </c>
    </row>
    <row r="249" spans="1:8" x14ac:dyDescent="0.3">
      <c r="A249" s="41">
        <v>245</v>
      </c>
      <c r="B249" s="41">
        <v>44</v>
      </c>
      <c r="C249" s="41" t="s">
        <v>7</v>
      </c>
      <c r="D249" s="41" t="s">
        <v>20</v>
      </c>
      <c r="E249" s="41" t="s">
        <v>9</v>
      </c>
      <c r="F249" s="41" t="s">
        <v>12</v>
      </c>
      <c r="G249" s="41">
        <v>3782</v>
      </c>
      <c r="H249" s="41" t="str">
        <f t="shared" si="3"/>
        <v>36-45</v>
      </c>
    </row>
    <row r="250" spans="1:8" x14ac:dyDescent="0.3">
      <c r="A250" s="41">
        <v>246</v>
      </c>
      <c r="B250" s="41">
        <v>27</v>
      </c>
      <c r="C250" s="41" t="s">
        <v>13</v>
      </c>
      <c r="D250" s="41" t="s">
        <v>11</v>
      </c>
      <c r="E250" s="41" t="s">
        <v>14</v>
      </c>
      <c r="F250" s="41" t="s">
        <v>12</v>
      </c>
      <c r="G250" s="41">
        <v>3472</v>
      </c>
      <c r="H250" s="41" t="str">
        <f t="shared" si="3"/>
        <v>26-35</v>
      </c>
    </row>
    <row r="251" spans="1:8" x14ac:dyDescent="0.3">
      <c r="A251" s="41">
        <v>247</v>
      </c>
      <c r="B251" s="41">
        <v>54</v>
      </c>
      <c r="C251" s="41" t="s">
        <v>7</v>
      </c>
      <c r="D251" s="41" t="s">
        <v>20</v>
      </c>
      <c r="E251" s="41" t="s">
        <v>14</v>
      </c>
      <c r="F251" s="41" t="s">
        <v>24</v>
      </c>
      <c r="G251" s="41">
        <v>19706</v>
      </c>
      <c r="H251" s="41" t="str">
        <f t="shared" si="3"/>
        <v>46-60</v>
      </c>
    </row>
    <row r="252" spans="1:8" x14ac:dyDescent="0.3">
      <c r="A252" s="41">
        <v>248</v>
      </c>
      <c r="B252" s="41">
        <v>60</v>
      </c>
      <c r="C252" s="41" t="s">
        <v>13</v>
      </c>
      <c r="D252" s="41" t="s">
        <v>15</v>
      </c>
      <c r="E252" s="41" t="s">
        <v>9</v>
      </c>
      <c r="F252" s="41" t="s">
        <v>18</v>
      </c>
      <c r="G252" s="41">
        <v>6757</v>
      </c>
      <c r="H252" s="41" t="str">
        <f t="shared" si="3"/>
        <v>46-60</v>
      </c>
    </row>
    <row r="253" spans="1:8" x14ac:dyDescent="0.3">
      <c r="A253" s="41">
        <v>249</v>
      </c>
      <c r="B253" s="41">
        <v>48</v>
      </c>
      <c r="C253" s="41" t="s">
        <v>7</v>
      </c>
      <c r="D253" s="41" t="s">
        <v>22</v>
      </c>
      <c r="E253" s="41" t="s">
        <v>9</v>
      </c>
      <c r="F253" s="41" t="s">
        <v>19</v>
      </c>
      <c r="G253" s="41">
        <v>19011</v>
      </c>
      <c r="H253" s="41" t="str">
        <f t="shared" si="3"/>
        <v>46-60</v>
      </c>
    </row>
    <row r="254" spans="1:8" x14ac:dyDescent="0.3">
      <c r="A254" s="41">
        <v>250</v>
      </c>
      <c r="B254" s="41">
        <v>31</v>
      </c>
      <c r="C254" s="41" t="s">
        <v>7</v>
      </c>
      <c r="D254" s="41" t="s">
        <v>11</v>
      </c>
      <c r="E254" s="41" t="s">
        <v>14</v>
      </c>
      <c r="F254" s="41" t="s">
        <v>18</v>
      </c>
      <c r="G254" s="41">
        <v>2886</v>
      </c>
      <c r="H254" s="41" t="str">
        <f t="shared" si="3"/>
        <v>26-35</v>
      </c>
    </row>
    <row r="255" spans="1:8" x14ac:dyDescent="0.3">
      <c r="A255" s="41">
        <v>251</v>
      </c>
      <c r="B255" s="41">
        <v>56</v>
      </c>
      <c r="C255" s="41" t="s">
        <v>13</v>
      </c>
      <c r="D255" s="41" t="s">
        <v>11</v>
      </c>
      <c r="E255" s="41" t="s">
        <v>9</v>
      </c>
      <c r="F255" s="41" t="s">
        <v>10</v>
      </c>
      <c r="G255" s="41">
        <v>2517</v>
      </c>
      <c r="H255" s="41" t="str">
        <f t="shared" si="3"/>
        <v>46-60</v>
      </c>
    </row>
    <row r="256" spans="1:8" x14ac:dyDescent="0.3">
      <c r="A256" s="41">
        <v>252</v>
      </c>
      <c r="B256" s="41">
        <v>25</v>
      </c>
      <c r="C256" s="41" t="s">
        <v>7</v>
      </c>
      <c r="D256" s="41" t="s">
        <v>8</v>
      </c>
      <c r="E256" s="41" t="s">
        <v>14</v>
      </c>
      <c r="F256" s="41" t="s">
        <v>12</v>
      </c>
      <c r="G256" s="41">
        <v>5944</v>
      </c>
      <c r="H256" s="41" t="str">
        <f t="shared" si="3"/>
        <v>18-25</v>
      </c>
    </row>
    <row r="257" spans="1:8" x14ac:dyDescent="0.3">
      <c r="A257" s="41">
        <v>253</v>
      </c>
      <c r="B257" s="41">
        <v>26</v>
      </c>
      <c r="C257" s="41" t="s">
        <v>13</v>
      </c>
      <c r="D257" s="41" t="s">
        <v>20</v>
      </c>
      <c r="E257" s="41" t="s">
        <v>9</v>
      </c>
      <c r="F257" s="41" t="s">
        <v>10</v>
      </c>
      <c r="G257" s="41">
        <v>2407</v>
      </c>
      <c r="H257" s="41" t="str">
        <f t="shared" si="3"/>
        <v>26-35</v>
      </c>
    </row>
    <row r="258" spans="1:8" x14ac:dyDescent="0.3">
      <c r="A258" s="41">
        <v>254</v>
      </c>
      <c r="B258" s="41">
        <v>52</v>
      </c>
      <c r="C258" s="41" t="s">
        <v>13</v>
      </c>
      <c r="D258" s="41" t="s">
        <v>11</v>
      </c>
      <c r="E258" s="41" t="s">
        <v>21</v>
      </c>
      <c r="F258" s="41" t="s">
        <v>12</v>
      </c>
      <c r="G258" s="41">
        <v>2226</v>
      </c>
      <c r="H258" s="41" t="str">
        <f t="shared" si="3"/>
        <v>46-60</v>
      </c>
    </row>
    <row r="259" spans="1:8" x14ac:dyDescent="0.3">
      <c r="A259" s="41">
        <v>255</v>
      </c>
      <c r="B259" s="41">
        <v>37</v>
      </c>
      <c r="C259" s="41" t="s">
        <v>13</v>
      </c>
      <c r="D259" s="41" t="s">
        <v>20</v>
      </c>
      <c r="E259" s="41" t="s">
        <v>14</v>
      </c>
      <c r="F259" s="41" t="s">
        <v>18</v>
      </c>
      <c r="G259" s="41">
        <v>1970</v>
      </c>
      <c r="H259" s="41" t="str">
        <f t="shared" si="3"/>
        <v>36-45</v>
      </c>
    </row>
    <row r="260" spans="1:8" x14ac:dyDescent="0.3">
      <c r="A260" s="41">
        <v>256</v>
      </c>
      <c r="B260" s="41">
        <v>18</v>
      </c>
      <c r="C260" s="41" t="s">
        <v>13</v>
      </c>
      <c r="D260" s="41" t="s">
        <v>8</v>
      </c>
      <c r="E260" s="41" t="s">
        <v>16</v>
      </c>
      <c r="F260" s="41" t="s">
        <v>10</v>
      </c>
      <c r="G260" s="41">
        <v>1796</v>
      </c>
      <c r="H260" s="41" t="str">
        <f t="shared" si="3"/>
        <v>18-25</v>
      </c>
    </row>
    <row r="261" spans="1:8" x14ac:dyDescent="0.3">
      <c r="A261" s="41">
        <v>257</v>
      </c>
      <c r="B261" s="41">
        <v>37</v>
      </c>
      <c r="C261" s="41" t="s">
        <v>7</v>
      </c>
      <c r="D261" s="41" t="s">
        <v>20</v>
      </c>
      <c r="E261" s="41" t="s">
        <v>21</v>
      </c>
      <c r="F261" s="41" t="s">
        <v>17</v>
      </c>
      <c r="G261" s="41">
        <v>6272</v>
      </c>
      <c r="H261" s="41" t="str">
        <f t="shared" si="3"/>
        <v>36-45</v>
      </c>
    </row>
    <row r="262" spans="1:8" x14ac:dyDescent="0.3">
      <c r="A262" s="41">
        <v>258</v>
      </c>
      <c r="B262" s="41">
        <v>24</v>
      </c>
      <c r="C262" s="41" t="s">
        <v>13</v>
      </c>
      <c r="D262" s="41" t="s">
        <v>8</v>
      </c>
      <c r="E262" s="41" t="s">
        <v>16</v>
      </c>
      <c r="F262" s="41" t="s">
        <v>19</v>
      </c>
      <c r="G262" s="41">
        <v>23024</v>
      </c>
      <c r="H262" s="41" t="str">
        <f t="shared" ref="H262:H325" si="4">IF(B262&lt;=25,"18-25",IF(B262&lt;=35,"26-35",IF(B262&lt;=45,"36-45","46-60")))</f>
        <v>18-25</v>
      </c>
    </row>
    <row r="263" spans="1:8" x14ac:dyDescent="0.3">
      <c r="A263" s="41">
        <v>259</v>
      </c>
      <c r="B263" s="41">
        <v>59</v>
      </c>
      <c r="C263" s="41" t="s">
        <v>13</v>
      </c>
      <c r="D263" s="41" t="s">
        <v>11</v>
      </c>
      <c r="E263" s="41" t="s">
        <v>16</v>
      </c>
      <c r="F263" s="41" t="s">
        <v>23</v>
      </c>
      <c r="G263" s="41">
        <v>11066</v>
      </c>
      <c r="H263" s="41" t="str">
        <f t="shared" si="4"/>
        <v>46-60</v>
      </c>
    </row>
    <row r="264" spans="1:8" x14ac:dyDescent="0.3">
      <c r="A264" s="41">
        <v>260</v>
      </c>
      <c r="B264" s="41">
        <v>20</v>
      </c>
      <c r="C264" s="41" t="s">
        <v>7</v>
      </c>
      <c r="D264" s="41" t="s">
        <v>8</v>
      </c>
      <c r="E264" s="41" t="s">
        <v>21</v>
      </c>
      <c r="F264" s="41" t="s">
        <v>18</v>
      </c>
      <c r="G264" s="41">
        <v>928</v>
      </c>
      <c r="H264" s="41" t="str">
        <f t="shared" si="4"/>
        <v>18-25</v>
      </c>
    </row>
    <row r="265" spans="1:8" x14ac:dyDescent="0.3">
      <c r="A265" s="41">
        <v>261</v>
      </c>
      <c r="B265" s="41">
        <v>20</v>
      </c>
      <c r="C265" s="41" t="s">
        <v>13</v>
      </c>
      <c r="D265" s="41" t="s">
        <v>8</v>
      </c>
      <c r="E265" s="41" t="s">
        <v>21</v>
      </c>
      <c r="F265" s="41" t="s">
        <v>19</v>
      </c>
      <c r="G265" s="41">
        <v>9204</v>
      </c>
      <c r="H265" s="41" t="str">
        <f t="shared" si="4"/>
        <v>18-25</v>
      </c>
    </row>
    <row r="266" spans="1:8" x14ac:dyDescent="0.3">
      <c r="A266" s="41">
        <v>262</v>
      </c>
      <c r="B266" s="41">
        <v>19</v>
      </c>
      <c r="C266" s="41" t="s">
        <v>7</v>
      </c>
      <c r="D266" s="41" t="s">
        <v>8</v>
      </c>
      <c r="E266" s="41" t="s">
        <v>16</v>
      </c>
      <c r="F266" s="41" t="s">
        <v>24</v>
      </c>
      <c r="G266" s="41">
        <v>19670</v>
      </c>
      <c r="H266" s="41" t="str">
        <f t="shared" si="4"/>
        <v>18-25</v>
      </c>
    </row>
    <row r="267" spans="1:8" x14ac:dyDescent="0.3">
      <c r="A267" s="41">
        <v>263</v>
      </c>
      <c r="B267" s="41">
        <v>55</v>
      </c>
      <c r="C267" s="41" t="s">
        <v>7</v>
      </c>
      <c r="D267" s="41" t="s">
        <v>11</v>
      </c>
      <c r="E267" s="41" t="s">
        <v>16</v>
      </c>
      <c r="F267" s="41" t="s">
        <v>10</v>
      </c>
      <c r="G267" s="41">
        <v>5479</v>
      </c>
      <c r="H267" s="41" t="str">
        <f t="shared" si="4"/>
        <v>46-60</v>
      </c>
    </row>
    <row r="268" spans="1:8" x14ac:dyDescent="0.3">
      <c r="A268" s="41">
        <v>264</v>
      </c>
      <c r="B268" s="41">
        <v>28</v>
      </c>
      <c r="C268" s="41" t="s">
        <v>13</v>
      </c>
      <c r="D268" s="41" t="s">
        <v>22</v>
      </c>
      <c r="E268" s="41" t="s">
        <v>21</v>
      </c>
      <c r="F268" s="41" t="s">
        <v>24</v>
      </c>
      <c r="G268" s="41">
        <v>8646</v>
      </c>
      <c r="H268" s="41" t="str">
        <f t="shared" si="4"/>
        <v>26-35</v>
      </c>
    </row>
    <row r="269" spans="1:8" x14ac:dyDescent="0.3">
      <c r="A269" s="41">
        <v>265</v>
      </c>
      <c r="B269" s="41">
        <v>44</v>
      </c>
      <c r="C269" s="41" t="s">
        <v>13</v>
      </c>
      <c r="D269" s="41" t="s">
        <v>20</v>
      </c>
      <c r="E269" s="41" t="s">
        <v>9</v>
      </c>
      <c r="F269" s="41" t="s">
        <v>10</v>
      </c>
      <c r="G269" s="41">
        <v>2004</v>
      </c>
      <c r="H269" s="41" t="str">
        <f t="shared" si="4"/>
        <v>36-45</v>
      </c>
    </row>
    <row r="270" spans="1:8" x14ac:dyDescent="0.3">
      <c r="A270" s="41">
        <v>266</v>
      </c>
      <c r="B270" s="41">
        <v>49</v>
      </c>
      <c r="C270" s="41" t="s">
        <v>13</v>
      </c>
      <c r="D270" s="41" t="s">
        <v>15</v>
      </c>
      <c r="E270" s="41" t="s">
        <v>21</v>
      </c>
      <c r="F270" s="41" t="s">
        <v>24</v>
      </c>
      <c r="G270" s="41">
        <v>19622</v>
      </c>
      <c r="H270" s="41" t="str">
        <f t="shared" si="4"/>
        <v>46-60</v>
      </c>
    </row>
    <row r="271" spans="1:8" x14ac:dyDescent="0.3">
      <c r="A271" s="41">
        <v>267</v>
      </c>
      <c r="B271" s="41">
        <v>53</v>
      </c>
      <c r="C271" s="41" t="s">
        <v>13</v>
      </c>
      <c r="D271" s="41" t="s">
        <v>20</v>
      </c>
      <c r="E271" s="41" t="s">
        <v>9</v>
      </c>
      <c r="F271" s="41" t="s">
        <v>12</v>
      </c>
      <c r="G271" s="41">
        <v>2309</v>
      </c>
      <c r="H271" s="41" t="str">
        <f t="shared" si="4"/>
        <v>46-60</v>
      </c>
    </row>
    <row r="272" spans="1:8" x14ac:dyDescent="0.3">
      <c r="A272" s="41">
        <v>268</v>
      </c>
      <c r="B272" s="41">
        <v>46</v>
      </c>
      <c r="C272" s="41" t="s">
        <v>7</v>
      </c>
      <c r="D272" s="41" t="s">
        <v>20</v>
      </c>
      <c r="E272" s="41" t="s">
        <v>9</v>
      </c>
      <c r="F272" s="41" t="s">
        <v>17</v>
      </c>
      <c r="G272" s="41">
        <v>13631</v>
      </c>
      <c r="H272" s="41" t="str">
        <f t="shared" si="4"/>
        <v>46-60</v>
      </c>
    </row>
    <row r="273" spans="1:8" x14ac:dyDescent="0.3">
      <c r="A273" s="41">
        <v>269</v>
      </c>
      <c r="B273" s="41">
        <v>54</v>
      </c>
      <c r="C273" s="41" t="s">
        <v>7</v>
      </c>
      <c r="D273" s="41" t="s">
        <v>20</v>
      </c>
      <c r="E273" s="41" t="s">
        <v>14</v>
      </c>
      <c r="F273" s="41" t="s">
        <v>18</v>
      </c>
      <c r="G273" s="41">
        <v>3253</v>
      </c>
      <c r="H273" s="41" t="str">
        <f t="shared" si="4"/>
        <v>46-60</v>
      </c>
    </row>
    <row r="274" spans="1:8" x14ac:dyDescent="0.3">
      <c r="A274" s="41">
        <v>270</v>
      </c>
      <c r="B274" s="41">
        <v>23</v>
      </c>
      <c r="C274" s="41" t="s">
        <v>7</v>
      </c>
      <c r="D274" s="41" t="s">
        <v>22</v>
      </c>
      <c r="E274" s="41" t="s">
        <v>9</v>
      </c>
      <c r="F274" s="41" t="s">
        <v>17</v>
      </c>
      <c r="G274" s="41">
        <v>13606</v>
      </c>
      <c r="H274" s="41" t="str">
        <f t="shared" si="4"/>
        <v>18-25</v>
      </c>
    </row>
    <row r="275" spans="1:8" x14ac:dyDescent="0.3">
      <c r="A275" s="41">
        <v>271</v>
      </c>
      <c r="B275" s="41">
        <v>21</v>
      </c>
      <c r="C275" s="41" t="s">
        <v>7</v>
      </c>
      <c r="D275" s="41" t="s">
        <v>8</v>
      </c>
      <c r="E275" s="41" t="s">
        <v>21</v>
      </c>
      <c r="F275" s="41" t="s">
        <v>19</v>
      </c>
      <c r="G275" s="41">
        <v>18648</v>
      </c>
      <c r="H275" s="41" t="str">
        <f t="shared" si="4"/>
        <v>18-25</v>
      </c>
    </row>
    <row r="276" spans="1:8" x14ac:dyDescent="0.3">
      <c r="A276" s="41">
        <v>272</v>
      </c>
      <c r="B276" s="41">
        <v>53</v>
      </c>
      <c r="C276" s="41" t="s">
        <v>7</v>
      </c>
      <c r="D276" s="41" t="s">
        <v>15</v>
      </c>
      <c r="E276" s="41" t="s">
        <v>16</v>
      </c>
      <c r="F276" s="41" t="s">
        <v>10</v>
      </c>
      <c r="G276" s="41">
        <v>1881</v>
      </c>
      <c r="H276" s="41" t="str">
        <f t="shared" si="4"/>
        <v>46-60</v>
      </c>
    </row>
    <row r="277" spans="1:8" x14ac:dyDescent="0.3">
      <c r="A277" s="41">
        <v>273</v>
      </c>
      <c r="B277" s="41">
        <v>47</v>
      </c>
      <c r="C277" s="41" t="s">
        <v>13</v>
      </c>
      <c r="D277" s="41" t="s">
        <v>20</v>
      </c>
      <c r="E277" s="41" t="s">
        <v>9</v>
      </c>
      <c r="F277" s="41" t="s">
        <v>10</v>
      </c>
      <c r="G277" s="41">
        <v>3792</v>
      </c>
      <c r="H277" s="41" t="str">
        <f t="shared" si="4"/>
        <v>46-60</v>
      </c>
    </row>
    <row r="278" spans="1:8" x14ac:dyDescent="0.3">
      <c r="A278" s="41">
        <v>274</v>
      </c>
      <c r="B278" s="41">
        <v>25</v>
      </c>
      <c r="C278" s="41" t="s">
        <v>13</v>
      </c>
      <c r="D278" s="41" t="s">
        <v>22</v>
      </c>
      <c r="E278" s="41" t="s">
        <v>14</v>
      </c>
      <c r="F278" s="41" t="s">
        <v>12</v>
      </c>
      <c r="G278" s="41">
        <v>1381</v>
      </c>
      <c r="H278" s="41" t="str">
        <f t="shared" si="4"/>
        <v>18-25</v>
      </c>
    </row>
    <row r="279" spans="1:8" x14ac:dyDescent="0.3">
      <c r="A279" s="41">
        <v>275</v>
      </c>
      <c r="B279" s="41">
        <v>43</v>
      </c>
      <c r="C279" s="41" t="s">
        <v>13</v>
      </c>
      <c r="D279" s="41" t="s">
        <v>20</v>
      </c>
      <c r="E279" s="41" t="s">
        <v>21</v>
      </c>
      <c r="F279" s="41" t="s">
        <v>12</v>
      </c>
      <c r="G279" s="41">
        <v>4840</v>
      </c>
      <c r="H279" s="41" t="str">
        <f t="shared" si="4"/>
        <v>36-45</v>
      </c>
    </row>
    <row r="280" spans="1:8" x14ac:dyDescent="0.3">
      <c r="A280" s="41">
        <v>276</v>
      </c>
      <c r="B280" s="41">
        <v>35</v>
      </c>
      <c r="C280" s="41" t="s">
        <v>13</v>
      </c>
      <c r="D280" s="41" t="s">
        <v>20</v>
      </c>
      <c r="E280" s="41" t="s">
        <v>9</v>
      </c>
      <c r="F280" s="41" t="s">
        <v>12</v>
      </c>
      <c r="G280" s="41">
        <v>1949</v>
      </c>
      <c r="H280" s="41" t="str">
        <f t="shared" si="4"/>
        <v>26-35</v>
      </c>
    </row>
    <row r="281" spans="1:8" x14ac:dyDescent="0.3">
      <c r="A281" s="41">
        <v>277</v>
      </c>
      <c r="B281" s="41">
        <v>49</v>
      </c>
      <c r="C281" s="41" t="s">
        <v>7</v>
      </c>
      <c r="D281" s="41" t="s">
        <v>15</v>
      </c>
      <c r="E281" s="41" t="s">
        <v>16</v>
      </c>
      <c r="F281" s="41" t="s">
        <v>10</v>
      </c>
      <c r="G281" s="41">
        <v>3328</v>
      </c>
      <c r="H281" s="41" t="str">
        <f t="shared" si="4"/>
        <v>46-60</v>
      </c>
    </row>
    <row r="282" spans="1:8" x14ac:dyDescent="0.3">
      <c r="A282" s="41">
        <v>278</v>
      </c>
      <c r="B282" s="41">
        <v>46</v>
      </c>
      <c r="C282" s="41" t="s">
        <v>13</v>
      </c>
      <c r="D282" s="41" t="s">
        <v>22</v>
      </c>
      <c r="E282" s="41" t="s">
        <v>14</v>
      </c>
      <c r="F282" s="41" t="s">
        <v>10</v>
      </c>
      <c r="G282" s="41">
        <v>6835</v>
      </c>
      <c r="H282" s="41" t="str">
        <f t="shared" si="4"/>
        <v>46-60</v>
      </c>
    </row>
    <row r="283" spans="1:8" x14ac:dyDescent="0.3">
      <c r="A283" s="41">
        <v>279</v>
      </c>
      <c r="B283" s="41">
        <v>29</v>
      </c>
      <c r="C283" s="41" t="s">
        <v>7</v>
      </c>
      <c r="D283" s="41" t="s">
        <v>11</v>
      </c>
      <c r="E283" s="41" t="s">
        <v>21</v>
      </c>
      <c r="F283" s="41" t="s">
        <v>10</v>
      </c>
      <c r="G283" s="41">
        <v>1942</v>
      </c>
      <c r="H283" s="41" t="str">
        <f t="shared" si="4"/>
        <v>26-35</v>
      </c>
    </row>
    <row r="284" spans="1:8" x14ac:dyDescent="0.3">
      <c r="A284" s="41">
        <v>280</v>
      </c>
      <c r="B284" s="41">
        <v>21</v>
      </c>
      <c r="C284" s="41" t="s">
        <v>13</v>
      </c>
      <c r="D284" s="41" t="s">
        <v>8</v>
      </c>
      <c r="E284" s="41" t="s">
        <v>9</v>
      </c>
      <c r="F284" s="41" t="s">
        <v>19</v>
      </c>
      <c r="G284" s="41">
        <v>21363</v>
      </c>
      <c r="H284" s="41" t="str">
        <f t="shared" si="4"/>
        <v>18-25</v>
      </c>
    </row>
    <row r="285" spans="1:8" x14ac:dyDescent="0.3">
      <c r="A285" s="41">
        <v>281</v>
      </c>
      <c r="B285" s="41">
        <v>45</v>
      </c>
      <c r="C285" s="41" t="s">
        <v>7</v>
      </c>
      <c r="D285" s="41" t="s">
        <v>20</v>
      </c>
      <c r="E285" s="41" t="s">
        <v>9</v>
      </c>
      <c r="F285" s="41" t="s">
        <v>24</v>
      </c>
      <c r="G285" s="41">
        <v>17266</v>
      </c>
      <c r="H285" s="41" t="str">
        <f t="shared" si="4"/>
        <v>36-45</v>
      </c>
    </row>
    <row r="286" spans="1:8" x14ac:dyDescent="0.3">
      <c r="A286" s="41">
        <v>282</v>
      </c>
      <c r="B286" s="41">
        <v>26</v>
      </c>
      <c r="C286" s="41" t="s">
        <v>13</v>
      </c>
      <c r="D286" s="41" t="s">
        <v>20</v>
      </c>
      <c r="E286" s="41" t="s">
        <v>21</v>
      </c>
      <c r="F286" s="41" t="s">
        <v>17</v>
      </c>
      <c r="G286" s="41">
        <v>4291</v>
      </c>
      <c r="H286" s="41" t="str">
        <f t="shared" si="4"/>
        <v>26-35</v>
      </c>
    </row>
    <row r="287" spans="1:8" x14ac:dyDescent="0.3">
      <c r="A287" s="41">
        <v>283</v>
      </c>
      <c r="B287" s="41">
        <v>29</v>
      </c>
      <c r="C287" s="41" t="s">
        <v>7</v>
      </c>
      <c r="D287" s="41" t="s">
        <v>22</v>
      </c>
      <c r="E287" s="41" t="s">
        <v>14</v>
      </c>
      <c r="F287" s="41" t="s">
        <v>17</v>
      </c>
      <c r="G287" s="41">
        <v>7176</v>
      </c>
      <c r="H287" s="41" t="str">
        <f t="shared" si="4"/>
        <v>26-35</v>
      </c>
    </row>
    <row r="288" spans="1:8" x14ac:dyDescent="0.3">
      <c r="A288" s="41">
        <v>284</v>
      </c>
      <c r="B288" s="41">
        <v>20</v>
      </c>
      <c r="C288" s="41" t="s">
        <v>13</v>
      </c>
      <c r="D288" s="41" t="s">
        <v>8</v>
      </c>
      <c r="E288" s="41" t="s">
        <v>9</v>
      </c>
      <c r="F288" s="41" t="s">
        <v>17</v>
      </c>
      <c r="G288" s="41">
        <v>14686</v>
      </c>
      <c r="H288" s="41" t="str">
        <f t="shared" si="4"/>
        <v>18-25</v>
      </c>
    </row>
    <row r="289" spans="1:8" x14ac:dyDescent="0.3">
      <c r="A289" s="41">
        <v>285</v>
      </c>
      <c r="B289" s="41">
        <v>55</v>
      </c>
      <c r="C289" s="41" t="s">
        <v>7</v>
      </c>
      <c r="D289" s="41" t="s">
        <v>20</v>
      </c>
      <c r="E289" s="41" t="s">
        <v>9</v>
      </c>
      <c r="F289" s="41" t="s">
        <v>17</v>
      </c>
      <c r="G289" s="41">
        <v>7010</v>
      </c>
      <c r="H289" s="41" t="str">
        <f t="shared" si="4"/>
        <v>46-60</v>
      </c>
    </row>
    <row r="290" spans="1:8" x14ac:dyDescent="0.3">
      <c r="A290" s="41">
        <v>286</v>
      </c>
      <c r="B290" s="41">
        <v>58</v>
      </c>
      <c r="C290" s="41" t="s">
        <v>13</v>
      </c>
      <c r="D290" s="41" t="s">
        <v>15</v>
      </c>
      <c r="E290" s="41" t="s">
        <v>16</v>
      </c>
      <c r="F290" s="41" t="s">
        <v>18</v>
      </c>
      <c r="G290" s="41">
        <v>3565</v>
      </c>
      <c r="H290" s="41" t="str">
        <f t="shared" si="4"/>
        <v>46-60</v>
      </c>
    </row>
    <row r="291" spans="1:8" x14ac:dyDescent="0.3">
      <c r="A291" s="41">
        <v>287</v>
      </c>
      <c r="B291" s="41">
        <v>26</v>
      </c>
      <c r="C291" s="41" t="s">
        <v>7</v>
      </c>
      <c r="D291" s="41" t="s">
        <v>22</v>
      </c>
      <c r="E291" s="41" t="s">
        <v>16</v>
      </c>
      <c r="F291" s="41" t="s">
        <v>10</v>
      </c>
      <c r="G291" s="41">
        <v>1749</v>
      </c>
      <c r="H291" s="41" t="str">
        <f t="shared" si="4"/>
        <v>26-35</v>
      </c>
    </row>
    <row r="292" spans="1:8" x14ac:dyDescent="0.3">
      <c r="A292" s="41">
        <v>288</v>
      </c>
      <c r="B292" s="41">
        <v>20</v>
      </c>
      <c r="C292" s="41" t="s">
        <v>13</v>
      </c>
      <c r="D292" s="41" t="s">
        <v>8</v>
      </c>
      <c r="E292" s="41" t="s">
        <v>14</v>
      </c>
      <c r="F292" s="41" t="s">
        <v>19</v>
      </c>
      <c r="G292" s="41">
        <v>8253</v>
      </c>
      <c r="H292" s="41" t="str">
        <f t="shared" si="4"/>
        <v>18-25</v>
      </c>
    </row>
    <row r="293" spans="1:8" x14ac:dyDescent="0.3">
      <c r="A293" s="41">
        <v>289</v>
      </c>
      <c r="B293" s="41">
        <v>21</v>
      </c>
      <c r="C293" s="41" t="s">
        <v>13</v>
      </c>
      <c r="D293" s="41" t="s">
        <v>8</v>
      </c>
      <c r="E293" s="41" t="s">
        <v>16</v>
      </c>
      <c r="F293" s="41" t="s">
        <v>23</v>
      </c>
      <c r="G293" s="41">
        <v>9466</v>
      </c>
      <c r="H293" s="41" t="str">
        <f t="shared" si="4"/>
        <v>18-25</v>
      </c>
    </row>
    <row r="294" spans="1:8" x14ac:dyDescent="0.3">
      <c r="A294" s="41">
        <v>290</v>
      </c>
      <c r="B294" s="41">
        <v>35</v>
      </c>
      <c r="C294" s="41" t="s">
        <v>13</v>
      </c>
      <c r="D294" s="41" t="s">
        <v>15</v>
      </c>
      <c r="E294" s="41" t="s">
        <v>21</v>
      </c>
      <c r="F294" s="41" t="s">
        <v>18</v>
      </c>
      <c r="G294" s="41">
        <v>2318</v>
      </c>
      <c r="H294" s="41" t="str">
        <f t="shared" si="4"/>
        <v>26-35</v>
      </c>
    </row>
    <row r="295" spans="1:8" x14ac:dyDescent="0.3">
      <c r="A295" s="41">
        <v>291</v>
      </c>
      <c r="B295" s="41">
        <v>36</v>
      </c>
      <c r="C295" s="41" t="s">
        <v>13</v>
      </c>
      <c r="D295" s="41" t="s">
        <v>22</v>
      </c>
      <c r="E295" s="41" t="s">
        <v>16</v>
      </c>
      <c r="F295" s="41" t="s">
        <v>12</v>
      </c>
      <c r="G295" s="41">
        <v>4694</v>
      </c>
      <c r="H295" s="41" t="str">
        <f t="shared" si="4"/>
        <v>36-45</v>
      </c>
    </row>
    <row r="296" spans="1:8" x14ac:dyDescent="0.3">
      <c r="A296" s="41">
        <v>292</v>
      </c>
      <c r="B296" s="41">
        <v>47</v>
      </c>
      <c r="C296" s="41" t="s">
        <v>13</v>
      </c>
      <c r="D296" s="41" t="s">
        <v>22</v>
      </c>
      <c r="E296" s="41" t="s">
        <v>16</v>
      </c>
      <c r="F296" s="41" t="s">
        <v>18</v>
      </c>
      <c r="G296" s="41">
        <v>6684</v>
      </c>
      <c r="H296" s="41" t="str">
        <f t="shared" si="4"/>
        <v>46-60</v>
      </c>
    </row>
    <row r="297" spans="1:8" x14ac:dyDescent="0.3">
      <c r="A297" s="41">
        <v>293</v>
      </c>
      <c r="B297" s="41">
        <v>48</v>
      </c>
      <c r="C297" s="41" t="s">
        <v>7</v>
      </c>
      <c r="D297" s="41" t="s">
        <v>20</v>
      </c>
      <c r="E297" s="41" t="s">
        <v>9</v>
      </c>
      <c r="F297" s="41" t="s">
        <v>23</v>
      </c>
      <c r="G297" s="41">
        <v>1973</v>
      </c>
      <c r="H297" s="41" t="str">
        <f t="shared" si="4"/>
        <v>46-60</v>
      </c>
    </row>
    <row r="298" spans="1:8" x14ac:dyDescent="0.3">
      <c r="A298" s="41">
        <v>294</v>
      </c>
      <c r="B298" s="41">
        <v>41</v>
      </c>
      <c r="C298" s="41" t="s">
        <v>7</v>
      </c>
      <c r="D298" s="41" t="s">
        <v>22</v>
      </c>
      <c r="E298" s="41" t="s">
        <v>21</v>
      </c>
      <c r="F298" s="41" t="s">
        <v>17</v>
      </c>
      <c r="G298" s="41">
        <v>8818</v>
      </c>
      <c r="H298" s="41" t="str">
        <f t="shared" si="4"/>
        <v>36-45</v>
      </c>
    </row>
    <row r="299" spans="1:8" x14ac:dyDescent="0.3">
      <c r="A299" s="41">
        <v>295</v>
      </c>
      <c r="B299" s="41">
        <v>46</v>
      </c>
      <c r="C299" s="41" t="s">
        <v>7</v>
      </c>
      <c r="D299" s="41" t="s">
        <v>22</v>
      </c>
      <c r="E299" s="41" t="s">
        <v>21</v>
      </c>
      <c r="F299" s="41" t="s">
        <v>23</v>
      </c>
      <c r="G299" s="41">
        <v>6178</v>
      </c>
      <c r="H299" s="41" t="str">
        <f t="shared" si="4"/>
        <v>46-60</v>
      </c>
    </row>
    <row r="300" spans="1:8" x14ac:dyDescent="0.3">
      <c r="A300" s="41">
        <v>296</v>
      </c>
      <c r="B300" s="41">
        <v>50</v>
      </c>
      <c r="C300" s="41" t="s">
        <v>7</v>
      </c>
      <c r="D300" s="41" t="s">
        <v>20</v>
      </c>
      <c r="E300" s="41" t="s">
        <v>9</v>
      </c>
      <c r="F300" s="41" t="s">
        <v>12</v>
      </c>
      <c r="G300" s="41">
        <v>1053</v>
      </c>
      <c r="H300" s="41" t="str">
        <f t="shared" si="4"/>
        <v>46-60</v>
      </c>
    </row>
    <row r="301" spans="1:8" x14ac:dyDescent="0.3">
      <c r="A301" s="41">
        <v>297</v>
      </c>
      <c r="B301" s="41">
        <v>23</v>
      </c>
      <c r="C301" s="41" t="s">
        <v>13</v>
      </c>
      <c r="D301" s="41" t="s">
        <v>20</v>
      </c>
      <c r="E301" s="41" t="s">
        <v>21</v>
      </c>
      <c r="F301" s="41" t="s">
        <v>10</v>
      </c>
      <c r="G301" s="41">
        <v>7605</v>
      </c>
      <c r="H301" s="41" t="str">
        <f t="shared" si="4"/>
        <v>18-25</v>
      </c>
    </row>
    <row r="302" spans="1:8" x14ac:dyDescent="0.3">
      <c r="A302" s="41">
        <v>298</v>
      </c>
      <c r="B302" s="41">
        <v>41</v>
      </c>
      <c r="C302" s="41" t="s">
        <v>13</v>
      </c>
      <c r="D302" s="41" t="s">
        <v>22</v>
      </c>
      <c r="E302" s="41" t="s">
        <v>21</v>
      </c>
      <c r="F302" s="41" t="s">
        <v>18</v>
      </c>
      <c r="G302" s="41">
        <v>3721</v>
      </c>
      <c r="H302" s="41" t="str">
        <f t="shared" si="4"/>
        <v>36-45</v>
      </c>
    </row>
    <row r="303" spans="1:8" x14ac:dyDescent="0.3">
      <c r="A303" s="41">
        <v>299</v>
      </c>
      <c r="B303" s="41">
        <v>45</v>
      </c>
      <c r="C303" s="41" t="s">
        <v>7</v>
      </c>
      <c r="D303" s="41" t="s">
        <v>20</v>
      </c>
      <c r="E303" s="41" t="s">
        <v>9</v>
      </c>
      <c r="F303" s="41" t="s">
        <v>12</v>
      </c>
      <c r="G303" s="41">
        <v>3853</v>
      </c>
      <c r="H303" s="41" t="str">
        <f t="shared" si="4"/>
        <v>36-45</v>
      </c>
    </row>
    <row r="304" spans="1:8" x14ac:dyDescent="0.3">
      <c r="A304" s="41">
        <v>300</v>
      </c>
      <c r="B304" s="41">
        <v>30</v>
      </c>
      <c r="C304" s="41" t="s">
        <v>7</v>
      </c>
      <c r="D304" s="41" t="s">
        <v>22</v>
      </c>
      <c r="E304" s="41" t="s">
        <v>9</v>
      </c>
      <c r="F304" s="41" t="s">
        <v>24</v>
      </c>
      <c r="G304" s="41">
        <v>14493</v>
      </c>
      <c r="H304" s="41" t="str">
        <f t="shared" si="4"/>
        <v>26-35</v>
      </c>
    </row>
    <row r="305" spans="1:8" x14ac:dyDescent="0.3">
      <c r="A305" s="41">
        <v>301</v>
      </c>
      <c r="B305" s="41">
        <v>35</v>
      </c>
      <c r="C305" s="41" t="s">
        <v>13</v>
      </c>
      <c r="D305" s="41" t="s">
        <v>15</v>
      </c>
      <c r="E305" s="41" t="s">
        <v>14</v>
      </c>
      <c r="F305" s="41" t="s">
        <v>12</v>
      </c>
      <c r="G305" s="41">
        <v>3409</v>
      </c>
      <c r="H305" s="41" t="str">
        <f t="shared" si="4"/>
        <v>26-35</v>
      </c>
    </row>
    <row r="306" spans="1:8" x14ac:dyDescent="0.3">
      <c r="A306" s="41">
        <v>302</v>
      </c>
      <c r="B306" s="41">
        <v>55</v>
      </c>
      <c r="C306" s="41" t="s">
        <v>7</v>
      </c>
      <c r="D306" s="41" t="s">
        <v>15</v>
      </c>
      <c r="E306" s="41" t="s">
        <v>16</v>
      </c>
      <c r="F306" s="41" t="s">
        <v>17</v>
      </c>
      <c r="G306" s="41">
        <v>13673</v>
      </c>
      <c r="H306" s="41" t="str">
        <f t="shared" si="4"/>
        <v>46-60</v>
      </c>
    </row>
    <row r="307" spans="1:8" x14ac:dyDescent="0.3">
      <c r="A307" s="41">
        <v>303</v>
      </c>
      <c r="B307" s="41">
        <v>38</v>
      </c>
      <c r="C307" s="41" t="s">
        <v>13</v>
      </c>
      <c r="D307" s="41" t="s">
        <v>20</v>
      </c>
      <c r="E307" s="41" t="s">
        <v>9</v>
      </c>
      <c r="F307" s="41" t="s">
        <v>12</v>
      </c>
      <c r="G307" s="41">
        <v>837</v>
      </c>
      <c r="H307" s="41" t="str">
        <f t="shared" si="4"/>
        <v>36-45</v>
      </c>
    </row>
    <row r="308" spans="1:8" x14ac:dyDescent="0.3">
      <c r="A308" s="41">
        <v>304</v>
      </c>
      <c r="B308" s="41">
        <v>26</v>
      </c>
      <c r="C308" s="41" t="s">
        <v>7</v>
      </c>
      <c r="D308" s="41" t="s">
        <v>20</v>
      </c>
      <c r="E308" s="41" t="s">
        <v>14</v>
      </c>
      <c r="F308" s="41" t="s">
        <v>12</v>
      </c>
      <c r="G308" s="41">
        <v>6825</v>
      </c>
      <c r="H308" s="41" t="str">
        <f t="shared" si="4"/>
        <v>26-35</v>
      </c>
    </row>
    <row r="309" spans="1:8" x14ac:dyDescent="0.3">
      <c r="A309" s="41">
        <v>305</v>
      </c>
      <c r="B309" s="41">
        <v>18</v>
      </c>
      <c r="C309" s="41" t="s">
        <v>7</v>
      </c>
      <c r="D309" s="41" t="s">
        <v>8</v>
      </c>
      <c r="E309" s="41" t="s">
        <v>16</v>
      </c>
      <c r="F309" s="41" t="s">
        <v>18</v>
      </c>
      <c r="G309" s="41">
        <v>2732</v>
      </c>
      <c r="H309" s="41" t="str">
        <f t="shared" si="4"/>
        <v>18-25</v>
      </c>
    </row>
    <row r="310" spans="1:8" x14ac:dyDescent="0.3">
      <c r="A310" s="41">
        <v>306</v>
      </c>
      <c r="B310" s="41">
        <v>20</v>
      </c>
      <c r="C310" s="41" t="s">
        <v>13</v>
      </c>
      <c r="D310" s="41" t="s">
        <v>8</v>
      </c>
      <c r="E310" s="41" t="s">
        <v>9</v>
      </c>
      <c r="F310" s="41" t="s">
        <v>18</v>
      </c>
      <c r="G310" s="41">
        <v>6189</v>
      </c>
      <c r="H310" s="41" t="str">
        <f t="shared" si="4"/>
        <v>18-25</v>
      </c>
    </row>
    <row r="311" spans="1:8" x14ac:dyDescent="0.3">
      <c r="A311" s="41">
        <v>307</v>
      </c>
      <c r="B311" s="41">
        <v>23</v>
      </c>
      <c r="C311" s="41" t="s">
        <v>13</v>
      </c>
      <c r="D311" s="41" t="s">
        <v>20</v>
      </c>
      <c r="E311" s="41" t="s">
        <v>21</v>
      </c>
      <c r="F311" s="41" t="s">
        <v>23</v>
      </c>
      <c r="G311" s="41">
        <v>9024</v>
      </c>
      <c r="H311" s="41" t="str">
        <f t="shared" si="4"/>
        <v>18-25</v>
      </c>
    </row>
    <row r="312" spans="1:8" x14ac:dyDescent="0.3">
      <c r="A312" s="41">
        <v>308</v>
      </c>
      <c r="B312" s="41">
        <v>39</v>
      </c>
      <c r="C312" s="41" t="s">
        <v>7</v>
      </c>
      <c r="D312" s="41" t="s">
        <v>22</v>
      </c>
      <c r="E312" s="41" t="s">
        <v>14</v>
      </c>
      <c r="F312" s="41" t="s">
        <v>18</v>
      </c>
      <c r="G312" s="41">
        <v>2466</v>
      </c>
      <c r="H312" s="41" t="str">
        <f t="shared" si="4"/>
        <v>36-45</v>
      </c>
    </row>
    <row r="313" spans="1:8" x14ac:dyDescent="0.3">
      <c r="A313" s="41">
        <v>309</v>
      </c>
      <c r="B313" s="41">
        <v>40</v>
      </c>
      <c r="C313" s="41" t="s">
        <v>7</v>
      </c>
      <c r="D313" s="41" t="s">
        <v>20</v>
      </c>
      <c r="E313" s="41" t="s">
        <v>21</v>
      </c>
      <c r="F313" s="41" t="s">
        <v>12</v>
      </c>
      <c r="G313" s="41">
        <v>2676</v>
      </c>
      <c r="H313" s="41" t="str">
        <f t="shared" si="4"/>
        <v>36-45</v>
      </c>
    </row>
    <row r="314" spans="1:8" x14ac:dyDescent="0.3">
      <c r="A314" s="41">
        <v>310</v>
      </c>
      <c r="B314" s="41">
        <v>33</v>
      </c>
      <c r="C314" s="41" t="s">
        <v>13</v>
      </c>
      <c r="D314" s="41" t="s">
        <v>20</v>
      </c>
      <c r="E314" s="41" t="s">
        <v>9</v>
      </c>
      <c r="F314" s="41" t="s">
        <v>18</v>
      </c>
      <c r="G314" s="41">
        <v>2676</v>
      </c>
      <c r="H314" s="41" t="str">
        <f t="shared" si="4"/>
        <v>26-35</v>
      </c>
    </row>
    <row r="315" spans="1:8" x14ac:dyDescent="0.3">
      <c r="A315" s="41">
        <v>311</v>
      </c>
      <c r="B315" s="41">
        <v>40</v>
      </c>
      <c r="C315" s="41" t="s">
        <v>13</v>
      </c>
      <c r="D315" s="41" t="s">
        <v>20</v>
      </c>
      <c r="E315" s="41" t="s">
        <v>9</v>
      </c>
      <c r="F315" s="41" t="s">
        <v>10</v>
      </c>
      <c r="G315" s="41">
        <v>5456</v>
      </c>
      <c r="H315" s="41" t="str">
        <f t="shared" si="4"/>
        <v>36-45</v>
      </c>
    </row>
    <row r="316" spans="1:8" x14ac:dyDescent="0.3">
      <c r="A316" s="41">
        <v>312</v>
      </c>
      <c r="B316" s="41">
        <v>30</v>
      </c>
      <c r="C316" s="41" t="s">
        <v>13</v>
      </c>
      <c r="D316" s="41" t="s">
        <v>22</v>
      </c>
      <c r="E316" s="41" t="s">
        <v>16</v>
      </c>
      <c r="F316" s="41" t="s">
        <v>18</v>
      </c>
      <c r="G316" s="41">
        <v>1146</v>
      </c>
      <c r="H316" s="41" t="str">
        <f t="shared" si="4"/>
        <v>26-35</v>
      </c>
    </row>
    <row r="317" spans="1:8" x14ac:dyDescent="0.3">
      <c r="A317" s="41">
        <v>313</v>
      </c>
      <c r="B317" s="41">
        <v>37</v>
      </c>
      <c r="C317" s="41" t="s">
        <v>7</v>
      </c>
      <c r="D317" s="41" t="s">
        <v>20</v>
      </c>
      <c r="E317" s="41" t="s">
        <v>21</v>
      </c>
      <c r="F317" s="41" t="s">
        <v>10</v>
      </c>
      <c r="G317" s="41">
        <v>3059</v>
      </c>
      <c r="H317" s="41" t="str">
        <f t="shared" si="4"/>
        <v>36-45</v>
      </c>
    </row>
    <row r="318" spans="1:8" x14ac:dyDescent="0.3">
      <c r="A318" s="41">
        <v>314</v>
      </c>
      <c r="B318" s="41">
        <v>43</v>
      </c>
      <c r="C318" s="41" t="s">
        <v>7</v>
      </c>
      <c r="D318" s="41" t="s">
        <v>15</v>
      </c>
      <c r="E318" s="41" t="s">
        <v>21</v>
      </c>
      <c r="F318" s="41" t="s">
        <v>10</v>
      </c>
      <c r="G318" s="41">
        <v>3157</v>
      </c>
      <c r="H318" s="41" t="str">
        <f t="shared" si="4"/>
        <v>36-45</v>
      </c>
    </row>
    <row r="319" spans="1:8" x14ac:dyDescent="0.3">
      <c r="A319" s="41">
        <v>315</v>
      </c>
      <c r="B319" s="41">
        <v>51</v>
      </c>
      <c r="C319" s="41" t="s">
        <v>7</v>
      </c>
      <c r="D319" s="41" t="s">
        <v>20</v>
      </c>
      <c r="E319" s="41" t="s">
        <v>21</v>
      </c>
      <c r="F319" s="41" t="s">
        <v>12</v>
      </c>
      <c r="G319" s="41">
        <v>4295</v>
      </c>
      <c r="H319" s="41" t="str">
        <f t="shared" si="4"/>
        <v>46-60</v>
      </c>
    </row>
    <row r="320" spans="1:8" x14ac:dyDescent="0.3">
      <c r="A320" s="41">
        <v>316</v>
      </c>
      <c r="B320" s="41">
        <v>48</v>
      </c>
      <c r="C320" s="41" t="s">
        <v>7</v>
      </c>
      <c r="D320" s="41" t="s">
        <v>15</v>
      </c>
      <c r="E320" s="41" t="s">
        <v>21</v>
      </c>
      <c r="F320" s="41" t="s">
        <v>10</v>
      </c>
      <c r="G320" s="41">
        <v>4721</v>
      </c>
      <c r="H320" s="41" t="str">
        <f t="shared" si="4"/>
        <v>46-60</v>
      </c>
    </row>
    <row r="321" spans="1:8" x14ac:dyDescent="0.3">
      <c r="A321" s="41">
        <v>317</v>
      </c>
      <c r="B321" s="41">
        <v>36</v>
      </c>
      <c r="C321" s="41" t="s">
        <v>13</v>
      </c>
      <c r="D321" s="41" t="s">
        <v>20</v>
      </c>
      <c r="E321" s="41" t="s">
        <v>21</v>
      </c>
      <c r="F321" s="41" t="s">
        <v>23</v>
      </c>
      <c r="G321" s="41">
        <v>8677</v>
      </c>
      <c r="H321" s="41" t="str">
        <f t="shared" si="4"/>
        <v>36-45</v>
      </c>
    </row>
    <row r="322" spans="1:8" x14ac:dyDescent="0.3">
      <c r="A322" s="41">
        <v>318</v>
      </c>
      <c r="B322" s="41">
        <v>41</v>
      </c>
      <c r="C322" s="41" t="s">
        <v>13</v>
      </c>
      <c r="D322" s="41" t="s">
        <v>20</v>
      </c>
      <c r="E322" s="41" t="s">
        <v>21</v>
      </c>
      <c r="F322" s="41" t="s">
        <v>18</v>
      </c>
      <c r="G322" s="41">
        <v>4710</v>
      </c>
      <c r="H322" s="41" t="str">
        <f t="shared" si="4"/>
        <v>36-45</v>
      </c>
    </row>
    <row r="323" spans="1:8" x14ac:dyDescent="0.3">
      <c r="A323" s="41">
        <v>319</v>
      </c>
      <c r="B323" s="41">
        <v>29</v>
      </c>
      <c r="C323" s="41" t="s">
        <v>7</v>
      </c>
      <c r="D323" s="41" t="s">
        <v>20</v>
      </c>
      <c r="E323" s="41" t="s">
        <v>21</v>
      </c>
      <c r="F323" s="41" t="s">
        <v>10</v>
      </c>
      <c r="G323" s="41">
        <v>6352</v>
      </c>
      <c r="H323" s="41" t="str">
        <f t="shared" si="4"/>
        <v>26-35</v>
      </c>
    </row>
    <row r="324" spans="1:8" x14ac:dyDescent="0.3">
      <c r="A324" s="41">
        <v>320</v>
      </c>
      <c r="B324" s="41">
        <v>25</v>
      </c>
      <c r="C324" s="41" t="s">
        <v>13</v>
      </c>
      <c r="D324" s="41" t="s">
        <v>20</v>
      </c>
      <c r="E324" s="41" t="s">
        <v>16</v>
      </c>
      <c r="F324" s="41" t="s">
        <v>17</v>
      </c>
      <c r="G324" s="41">
        <v>4316</v>
      </c>
      <c r="H324" s="41" t="str">
        <f t="shared" si="4"/>
        <v>18-25</v>
      </c>
    </row>
    <row r="325" spans="1:8" x14ac:dyDescent="0.3">
      <c r="A325" s="41">
        <v>321</v>
      </c>
      <c r="B325" s="41">
        <v>28</v>
      </c>
      <c r="C325" s="41" t="s">
        <v>13</v>
      </c>
      <c r="D325" s="41" t="s">
        <v>20</v>
      </c>
      <c r="E325" s="41" t="s">
        <v>16</v>
      </c>
      <c r="F325" s="41" t="s">
        <v>19</v>
      </c>
      <c r="G325" s="41">
        <v>9661</v>
      </c>
      <c r="H325" s="41" t="str">
        <f t="shared" si="4"/>
        <v>26-35</v>
      </c>
    </row>
    <row r="326" spans="1:8" x14ac:dyDescent="0.3">
      <c r="A326" s="41">
        <v>322</v>
      </c>
      <c r="B326" s="41">
        <v>41</v>
      </c>
      <c r="C326" s="41" t="s">
        <v>13</v>
      </c>
      <c r="D326" s="41" t="s">
        <v>22</v>
      </c>
      <c r="E326" s="41" t="s">
        <v>21</v>
      </c>
      <c r="F326" s="41" t="s">
        <v>17</v>
      </c>
      <c r="G326" s="41">
        <v>2801</v>
      </c>
      <c r="H326" s="41" t="str">
        <f t="shared" ref="H326:H389" si="5">IF(B326&lt;=25,"18-25",IF(B326&lt;=35,"26-35",IF(B326&lt;=45,"36-45","46-60")))</f>
        <v>36-45</v>
      </c>
    </row>
    <row r="327" spans="1:8" x14ac:dyDescent="0.3">
      <c r="A327" s="41">
        <v>323</v>
      </c>
      <c r="B327" s="41">
        <v>48</v>
      </c>
      <c r="C327" s="41" t="s">
        <v>7</v>
      </c>
      <c r="D327" s="41" t="s">
        <v>15</v>
      </c>
      <c r="E327" s="41" t="s">
        <v>14</v>
      </c>
      <c r="F327" s="41" t="s">
        <v>10</v>
      </c>
      <c r="G327" s="41">
        <v>3411</v>
      </c>
      <c r="H327" s="41" t="str">
        <f t="shared" si="5"/>
        <v>46-60</v>
      </c>
    </row>
    <row r="328" spans="1:8" x14ac:dyDescent="0.3">
      <c r="A328" s="41">
        <v>324</v>
      </c>
      <c r="B328" s="41">
        <v>27</v>
      </c>
      <c r="C328" s="41" t="s">
        <v>7</v>
      </c>
      <c r="D328" s="41" t="s">
        <v>11</v>
      </c>
      <c r="E328" s="41" t="s">
        <v>14</v>
      </c>
      <c r="F328" s="41" t="s">
        <v>23</v>
      </c>
      <c r="G328" s="41">
        <v>5412</v>
      </c>
      <c r="H328" s="41" t="str">
        <f t="shared" si="5"/>
        <v>26-35</v>
      </c>
    </row>
    <row r="329" spans="1:8" x14ac:dyDescent="0.3">
      <c r="A329" s="41">
        <v>325</v>
      </c>
      <c r="B329" s="41">
        <v>32</v>
      </c>
      <c r="C329" s="41" t="s">
        <v>13</v>
      </c>
      <c r="D329" s="41" t="s">
        <v>11</v>
      </c>
      <c r="E329" s="41" t="s">
        <v>9</v>
      </c>
      <c r="F329" s="41" t="s">
        <v>10</v>
      </c>
      <c r="G329" s="41">
        <v>5573</v>
      </c>
      <c r="H329" s="41" t="str">
        <f t="shared" si="5"/>
        <v>26-35</v>
      </c>
    </row>
    <row r="330" spans="1:8" x14ac:dyDescent="0.3">
      <c r="A330" s="41">
        <v>326</v>
      </c>
      <c r="B330" s="41">
        <v>30</v>
      </c>
      <c r="C330" s="41" t="s">
        <v>13</v>
      </c>
      <c r="D330" s="41" t="s">
        <v>11</v>
      </c>
      <c r="E330" s="41" t="s">
        <v>14</v>
      </c>
      <c r="F330" s="41" t="s">
        <v>23</v>
      </c>
      <c r="G330" s="41">
        <v>6487</v>
      </c>
      <c r="H330" s="41" t="str">
        <f t="shared" si="5"/>
        <v>26-35</v>
      </c>
    </row>
    <row r="331" spans="1:8" x14ac:dyDescent="0.3">
      <c r="A331" s="41">
        <v>327</v>
      </c>
      <c r="B331" s="41">
        <v>50</v>
      </c>
      <c r="C331" s="41" t="s">
        <v>7</v>
      </c>
      <c r="D331" s="41" t="s">
        <v>15</v>
      </c>
      <c r="E331" s="41" t="s">
        <v>21</v>
      </c>
      <c r="F331" s="41" t="s">
        <v>12</v>
      </c>
      <c r="G331" s="41">
        <v>2430</v>
      </c>
      <c r="H331" s="41" t="str">
        <f t="shared" si="5"/>
        <v>46-60</v>
      </c>
    </row>
    <row r="332" spans="1:8" x14ac:dyDescent="0.3">
      <c r="A332" s="41">
        <v>328</v>
      </c>
      <c r="B332" s="41">
        <v>43</v>
      </c>
      <c r="C332" s="41" t="s">
        <v>13</v>
      </c>
      <c r="D332" s="41" t="s">
        <v>15</v>
      </c>
      <c r="E332" s="41" t="s">
        <v>14</v>
      </c>
      <c r="F332" s="41" t="s">
        <v>24</v>
      </c>
      <c r="G332" s="41">
        <v>11315</v>
      </c>
      <c r="H332" s="41" t="str">
        <f t="shared" si="5"/>
        <v>36-45</v>
      </c>
    </row>
    <row r="333" spans="1:8" x14ac:dyDescent="0.3">
      <c r="A333" s="41">
        <v>329</v>
      </c>
      <c r="B333" s="41">
        <v>18</v>
      </c>
      <c r="C333" s="41" t="s">
        <v>7</v>
      </c>
      <c r="D333" s="41" t="s">
        <v>8</v>
      </c>
      <c r="E333" s="41" t="s">
        <v>21</v>
      </c>
      <c r="F333" s="41" t="s">
        <v>19</v>
      </c>
      <c r="G333" s="41">
        <v>16905</v>
      </c>
      <c r="H333" s="41" t="str">
        <f t="shared" si="5"/>
        <v>18-25</v>
      </c>
    </row>
    <row r="334" spans="1:8" x14ac:dyDescent="0.3">
      <c r="A334" s="41">
        <v>330</v>
      </c>
      <c r="B334" s="41">
        <v>34</v>
      </c>
      <c r="C334" s="41" t="s">
        <v>7</v>
      </c>
      <c r="D334" s="41" t="s">
        <v>15</v>
      </c>
      <c r="E334" s="41" t="s">
        <v>9</v>
      </c>
      <c r="F334" s="41" t="s">
        <v>17</v>
      </c>
      <c r="G334" s="41">
        <v>10734</v>
      </c>
      <c r="H334" s="41" t="str">
        <f t="shared" si="5"/>
        <v>26-35</v>
      </c>
    </row>
    <row r="335" spans="1:8" x14ac:dyDescent="0.3">
      <c r="A335" s="41">
        <v>331</v>
      </c>
      <c r="B335" s="41">
        <v>35</v>
      </c>
      <c r="C335" s="41" t="s">
        <v>7</v>
      </c>
      <c r="D335" s="41" t="s">
        <v>20</v>
      </c>
      <c r="E335" s="41" t="s">
        <v>14</v>
      </c>
      <c r="F335" s="41" t="s">
        <v>24</v>
      </c>
      <c r="G335" s="41">
        <v>10484</v>
      </c>
      <c r="H335" s="41" t="str">
        <f t="shared" si="5"/>
        <v>26-35</v>
      </c>
    </row>
    <row r="336" spans="1:8" x14ac:dyDescent="0.3">
      <c r="A336" s="41">
        <v>332</v>
      </c>
      <c r="B336" s="41">
        <v>42</v>
      </c>
      <c r="C336" s="41" t="s">
        <v>7</v>
      </c>
      <c r="D336" s="41" t="s">
        <v>20</v>
      </c>
      <c r="E336" s="41" t="s">
        <v>16</v>
      </c>
      <c r="F336" s="41" t="s">
        <v>17</v>
      </c>
      <c r="G336" s="41">
        <v>7098</v>
      </c>
      <c r="H336" s="41" t="str">
        <f t="shared" si="5"/>
        <v>36-45</v>
      </c>
    </row>
    <row r="337" spans="1:8" x14ac:dyDescent="0.3">
      <c r="A337" s="41">
        <v>333</v>
      </c>
      <c r="B337" s="41">
        <v>39</v>
      </c>
      <c r="C337" s="41" t="s">
        <v>7</v>
      </c>
      <c r="D337" s="41" t="s">
        <v>22</v>
      </c>
      <c r="E337" s="41" t="s">
        <v>9</v>
      </c>
      <c r="F337" s="41" t="s">
        <v>24</v>
      </c>
      <c r="G337" s="41">
        <v>18700</v>
      </c>
      <c r="H337" s="41" t="str">
        <f t="shared" si="5"/>
        <v>36-45</v>
      </c>
    </row>
    <row r="338" spans="1:8" x14ac:dyDescent="0.3">
      <c r="A338" s="41">
        <v>334</v>
      </c>
      <c r="B338" s="41">
        <v>40</v>
      </c>
      <c r="C338" s="41" t="s">
        <v>13</v>
      </c>
      <c r="D338" s="41" t="s">
        <v>11</v>
      </c>
      <c r="E338" s="41" t="s">
        <v>21</v>
      </c>
      <c r="F338" s="41" t="s">
        <v>12</v>
      </c>
      <c r="G338" s="41">
        <v>1935</v>
      </c>
      <c r="H338" s="41" t="str">
        <f t="shared" si="5"/>
        <v>36-45</v>
      </c>
    </row>
    <row r="339" spans="1:8" x14ac:dyDescent="0.3">
      <c r="A339" s="41">
        <v>335</v>
      </c>
      <c r="B339" s="41">
        <v>32</v>
      </c>
      <c r="C339" s="41" t="s">
        <v>7</v>
      </c>
      <c r="D339" s="41" t="s">
        <v>20</v>
      </c>
      <c r="E339" s="41" t="s">
        <v>9</v>
      </c>
      <c r="F339" s="41" t="s">
        <v>18</v>
      </c>
      <c r="G339" s="41">
        <v>4452</v>
      </c>
      <c r="H339" s="41" t="str">
        <f t="shared" si="5"/>
        <v>26-35</v>
      </c>
    </row>
    <row r="340" spans="1:8" x14ac:dyDescent="0.3">
      <c r="A340" s="41">
        <v>336</v>
      </c>
      <c r="B340" s="41">
        <v>53</v>
      </c>
      <c r="C340" s="41" t="s">
        <v>7</v>
      </c>
      <c r="D340" s="41" t="s">
        <v>20</v>
      </c>
      <c r="E340" s="41" t="s">
        <v>14</v>
      </c>
      <c r="F340" s="41" t="s">
        <v>12</v>
      </c>
      <c r="G340" s="41">
        <v>4475</v>
      </c>
      <c r="H340" s="41" t="str">
        <f t="shared" si="5"/>
        <v>46-60</v>
      </c>
    </row>
    <row r="341" spans="1:8" x14ac:dyDescent="0.3">
      <c r="A341" s="41">
        <v>337</v>
      </c>
      <c r="B341" s="41">
        <v>46</v>
      </c>
      <c r="C341" s="41" t="s">
        <v>7</v>
      </c>
      <c r="D341" s="41" t="s">
        <v>11</v>
      </c>
      <c r="E341" s="41" t="s">
        <v>16</v>
      </c>
      <c r="F341" s="41" t="s">
        <v>10</v>
      </c>
      <c r="G341" s="41">
        <v>8377</v>
      </c>
      <c r="H341" s="41" t="str">
        <f t="shared" si="5"/>
        <v>46-60</v>
      </c>
    </row>
    <row r="342" spans="1:8" x14ac:dyDescent="0.3">
      <c r="A342" s="41">
        <v>338</v>
      </c>
      <c r="B342" s="41">
        <v>39</v>
      </c>
      <c r="C342" s="41" t="s">
        <v>13</v>
      </c>
      <c r="D342" s="41" t="s">
        <v>15</v>
      </c>
      <c r="E342" s="41" t="s">
        <v>16</v>
      </c>
      <c r="F342" s="41" t="s">
        <v>24</v>
      </c>
      <c r="G342" s="41">
        <v>7910</v>
      </c>
      <c r="H342" s="41" t="str">
        <f t="shared" si="5"/>
        <v>36-45</v>
      </c>
    </row>
    <row r="343" spans="1:8" x14ac:dyDescent="0.3">
      <c r="A343" s="41">
        <v>339</v>
      </c>
      <c r="B343" s="41">
        <v>39</v>
      </c>
      <c r="C343" s="41" t="s">
        <v>7</v>
      </c>
      <c r="D343" s="41" t="s">
        <v>11</v>
      </c>
      <c r="E343" s="41" t="s">
        <v>16</v>
      </c>
      <c r="F343" s="41" t="s">
        <v>23</v>
      </c>
      <c r="G343" s="41">
        <v>8879</v>
      </c>
      <c r="H343" s="41" t="str">
        <f t="shared" si="5"/>
        <v>36-45</v>
      </c>
    </row>
    <row r="344" spans="1:8" x14ac:dyDescent="0.3">
      <c r="A344" s="41">
        <v>340</v>
      </c>
      <c r="B344" s="41">
        <v>25</v>
      </c>
      <c r="C344" s="41" t="s">
        <v>7</v>
      </c>
      <c r="D344" s="41" t="s">
        <v>8</v>
      </c>
      <c r="E344" s="41" t="s">
        <v>14</v>
      </c>
      <c r="F344" s="41" t="s">
        <v>19</v>
      </c>
      <c r="G344" s="41">
        <v>11407</v>
      </c>
      <c r="H344" s="41" t="str">
        <f t="shared" si="5"/>
        <v>18-25</v>
      </c>
    </row>
    <row r="345" spans="1:8" x14ac:dyDescent="0.3">
      <c r="A345" s="41">
        <v>341</v>
      </c>
      <c r="B345" s="41">
        <v>25</v>
      </c>
      <c r="C345" s="41" t="s">
        <v>7</v>
      </c>
      <c r="D345" s="41" t="s">
        <v>20</v>
      </c>
      <c r="E345" s="41" t="s">
        <v>9</v>
      </c>
      <c r="F345" s="41" t="s">
        <v>17</v>
      </c>
      <c r="G345" s="41">
        <v>12528</v>
      </c>
      <c r="H345" s="41" t="str">
        <f t="shared" si="5"/>
        <v>18-25</v>
      </c>
    </row>
    <row r="346" spans="1:8" x14ac:dyDescent="0.3">
      <c r="A346" s="41">
        <v>342</v>
      </c>
      <c r="B346" s="41">
        <v>22</v>
      </c>
      <c r="C346" s="41" t="s">
        <v>7</v>
      </c>
      <c r="D346" s="41" t="s">
        <v>8</v>
      </c>
      <c r="E346" s="41" t="s">
        <v>9</v>
      </c>
      <c r="F346" s="41" t="s">
        <v>10</v>
      </c>
      <c r="G346" s="41">
        <v>1866</v>
      </c>
      <c r="H346" s="41" t="str">
        <f t="shared" si="5"/>
        <v>18-25</v>
      </c>
    </row>
    <row r="347" spans="1:8" x14ac:dyDescent="0.3">
      <c r="A347" s="41">
        <v>343</v>
      </c>
      <c r="B347" s="41">
        <v>39</v>
      </c>
      <c r="C347" s="41" t="s">
        <v>13</v>
      </c>
      <c r="D347" s="41" t="s">
        <v>20</v>
      </c>
      <c r="E347" s="41" t="s">
        <v>14</v>
      </c>
      <c r="F347" s="41" t="s">
        <v>17</v>
      </c>
      <c r="G347" s="41">
        <v>2807</v>
      </c>
      <c r="H347" s="41" t="str">
        <f t="shared" si="5"/>
        <v>36-45</v>
      </c>
    </row>
    <row r="348" spans="1:8" x14ac:dyDescent="0.3">
      <c r="A348" s="41">
        <v>344</v>
      </c>
      <c r="B348" s="41">
        <v>55</v>
      </c>
      <c r="C348" s="41" t="s">
        <v>7</v>
      </c>
      <c r="D348" s="41" t="s">
        <v>20</v>
      </c>
      <c r="E348" s="41" t="s">
        <v>14</v>
      </c>
      <c r="F348" s="41" t="s">
        <v>23</v>
      </c>
      <c r="G348" s="41">
        <v>10227</v>
      </c>
      <c r="H348" s="41" t="str">
        <f t="shared" si="5"/>
        <v>46-60</v>
      </c>
    </row>
    <row r="349" spans="1:8" x14ac:dyDescent="0.3">
      <c r="A349" s="41">
        <v>345</v>
      </c>
      <c r="B349" s="41">
        <v>55</v>
      </c>
      <c r="C349" s="41" t="s">
        <v>13</v>
      </c>
      <c r="D349" s="41" t="s">
        <v>15</v>
      </c>
      <c r="E349" s="41" t="s">
        <v>16</v>
      </c>
      <c r="F349" s="41" t="s">
        <v>12</v>
      </c>
      <c r="G349" s="41">
        <v>6374</v>
      </c>
      <c r="H349" s="41" t="str">
        <f t="shared" si="5"/>
        <v>46-60</v>
      </c>
    </row>
    <row r="350" spans="1:8" x14ac:dyDescent="0.3">
      <c r="A350" s="41">
        <v>346</v>
      </c>
      <c r="B350" s="41">
        <v>47</v>
      </c>
      <c r="C350" s="41" t="s">
        <v>7</v>
      </c>
      <c r="D350" s="41" t="s">
        <v>22</v>
      </c>
      <c r="E350" s="41" t="s">
        <v>21</v>
      </c>
      <c r="F350" s="41" t="s">
        <v>17</v>
      </c>
      <c r="G350" s="41">
        <v>3526</v>
      </c>
      <c r="H350" s="41" t="str">
        <f t="shared" si="5"/>
        <v>46-60</v>
      </c>
    </row>
    <row r="351" spans="1:8" x14ac:dyDescent="0.3">
      <c r="A351" s="41">
        <v>347</v>
      </c>
      <c r="B351" s="41">
        <v>41</v>
      </c>
      <c r="C351" s="41" t="s">
        <v>13</v>
      </c>
      <c r="D351" s="41" t="s">
        <v>20</v>
      </c>
      <c r="E351" s="41" t="s">
        <v>9</v>
      </c>
      <c r="F351" s="41" t="s">
        <v>24</v>
      </c>
      <c r="G351" s="41">
        <v>10061</v>
      </c>
      <c r="H351" s="41" t="str">
        <f t="shared" si="5"/>
        <v>36-45</v>
      </c>
    </row>
    <row r="352" spans="1:8" x14ac:dyDescent="0.3">
      <c r="A352" s="41">
        <v>348</v>
      </c>
      <c r="B352" s="41">
        <v>31</v>
      </c>
      <c r="C352" s="41" t="s">
        <v>13</v>
      </c>
      <c r="D352" s="41" t="s">
        <v>20</v>
      </c>
      <c r="E352" s="41" t="s">
        <v>9</v>
      </c>
      <c r="F352" s="41" t="s">
        <v>23</v>
      </c>
      <c r="G352" s="41">
        <v>2696</v>
      </c>
      <c r="H352" s="41" t="str">
        <f t="shared" si="5"/>
        <v>26-35</v>
      </c>
    </row>
    <row r="353" spans="1:8" x14ac:dyDescent="0.3">
      <c r="A353" s="41">
        <v>349</v>
      </c>
      <c r="B353" s="41">
        <v>45</v>
      </c>
      <c r="C353" s="41" t="s">
        <v>13</v>
      </c>
      <c r="D353" s="41" t="s">
        <v>15</v>
      </c>
      <c r="E353" s="41" t="s">
        <v>16</v>
      </c>
      <c r="F353" s="41" t="s">
        <v>23</v>
      </c>
      <c r="G353" s="41">
        <v>5148</v>
      </c>
      <c r="H353" s="41" t="str">
        <f t="shared" si="5"/>
        <v>36-45</v>
      </c>
    </row>
    <row r="354" spans="1:8" x14ac:dyDescent="0.3">
      <c r="A354" s="41">
        <v>350</v>
      </c>
      <c r="B354" s="41">
        <v>44</v>
      </c>
      <c r="C354" s="41" t="s">
        <v>13</v>
      </c>
      <c r="D354" s="41" t="s">
        <v>22</v>
      </c>
      <c r="E354" s="41" t="s">
        <v>16</v>
      </c>
      <c r="F354" s="41" t="s">
        <v>18</v>
      </c>
      <c r="G354" s="41">
        <v>5917</v>
      </c>
      <c r="H354" s="41" t="str">
        <f t="shared" si="5"/>
        <v>36-45</v>
      </c>
    </row>
    <row r="355" spans="1:8" x14ac:dyDescent="0.3">
      <c r="A355" s="41">
        <v>351</v>
      </c>
      <c r="B355" s="41">
        <v>44</v>
      </c>
      <c r="C355" s="41" t="s">
        <v>13</v>
      </c>
      <c r="D355" s="41" t="s">
        <v>22</v>
      </c>
      <c r="E355" s="41" t="s">
        <v>21</v>
      </c>
      <c r="F355" s="41" t="s">
        <v>17</v>
      </c>
      <c r="G355" s="41">
        <v>4040</v>
      </c>
      <c r="H355" s="41" t="str">
        <f t="shared" si="5"/>
        <v>36-45</v>
      </c>
    </row>
    <row r="356" spans="1:8" x14ac:dyDescent="0.3">
      <c r="A356" s="41">
        <v>352</v>
      </c>
      <c r="B356" s="41">
        <v>48</v>
      </c>
      <c r="C356" s="41" t="s">
        <v>13</v>
      </c>
      <c r="D356" s="41" t="s">
        <v>11</v>
      </c>
      <c r="E356" s="41" t="s">
        <v>9</v>
      </c>
      <c r="F356" s="41" t="s">
        <v>23</v>
      </c>
      <c r="G356" s="41">
        <v>5656</v>
      </c>
      <c r="H356" s="41" t="str">
        <f t="shared" si="5"/>
        <v>46-60</v>
      </c>
    </row>
    <row r="357" spans="1:8" x14ac:dyDescent="0.3">
      <c r="A357" s="41">
        <v>353</v>
      </c>
      <c r="B357" s="41">
        <v>33</v>
      </c>
      <c r="C357" s="41" t="s">
        <v>7</v>
      </c>
      <c r="D357" s="41" t="s">
        <v>15</v>
      </c>
      <c r="E357" s="41" t="s">
        <v>16</v>
      </c>
      <c r="F357" s="41" t="s">
        <v>12</v>
      </c>
      <c r="G357" s="41">
        <v>2599</v>
      </c>
      <c r="H357" s="41" t="str">
        <f t="shared" si="5"/>
        <v>26-35</v>
      </c>
    </row>
    <row r="358" spans="1:8" x14ac:dyDescent="0.3">
      <c r="A358" s="41">
        <v>354</v>
      </c>
      <c r="B358" s="41">
        <v>43</v>
      </c>
      <c r="C358" s="41" t="s">
        <v>13</v>
      </c>
      <c r="D358" s="41" t="s">
        <v>11</v>
      </c>
      <c r="E358" s="41" t="s">
        <v>16</v>
      </c>
      <c r="F358" s="41" t="s">
        <v>12</v>
      </c>
      <c r="G358" s="41">
        <v>3707</v>
      </c>
      <c r="H358" s="41" t="str">
        <f t="shared" si="5"/>
        <v>36-45</v>
      </c>
    </row>
    <row r="359" spans="1:8" x14ac:dyDescent="0.3">
      <c r="A359" s="41">
        <v>355</v>
      </c>
      <c r="B359" s="41">
        <v>20</v>
      </c>
      <c r="C359" s="41" t="s">
        <v>13</v>
      </c>
      <c r="D359" s="41" t="s">
        <v>8</v>
      </c>
      <c r="E359" s="41" t="s">
        <v>21</v>
      </c>
      <c r="F359" s="41" t="s">
        <v>19</v>
      </c>
      <c r="G359" s="41">
        <v>21144</v>
      </c>
      <c r="H359" s="41" t="str">
        <f t="shared" si="5"/>
        <v>18-25</v>
      </c>
    </row>
    <row r="360" spans="1:8" x14ac:dyDescent="0.3">
      <c r="A360" s="41">
        <v>356</v>
      </c>
      <c r="B360" s="41">
        <v>27</v>
      </c>
      <c r="C360" s="41" t="s">
        <v>7</v>
      </c>
      <c r="D360" s="41" t="s">
        <v>15</v>
      </c>
      <c r="E360" s="41" t="s">
        <v>16</v>
      </c>
      <c r="F360" s="41" t="s">
        <v>24</v>
      </c>
      <c r="G360" s="41">
        <v>18033</v>
      </c>
      <c r="H360" s="41" t="str">
        <f t="shared" si="5"/>
        <v>26-35</v>
      </c>
    </row>
    <row r="361" spans="1:8" x14ac:dyDescent="0.3">
      <c r="A361" s="41">
        <v>357</v>
      </c>
      <c r="B361" s="41">
        <v>39</v>
      </c>
      <c r="C361" s="41" t="s">
        <v>7</v>
      </c>
      <c r="D361" s="41" t="s">
        <v>15</v>
      </c>
      <c r="E361" s="41" t="s">
        <v>14</v>
      </c>
      <c r="F361" s="41" t="s">
        <v>10</v>
      </c>
      <c r="G361" s="41">
        <v>3801</v>
      </c>
      <c r="H361" s="41" t="str">
        <f t="shared" si="5"/>
        <v>36-45</v>
      </c>
    </row>
    <row r="362" spans="1:8" x14ac:dyDescent="0.3">
      <c r="A362" s="41">
        <v>358</v>
      </c>
      <c r="B362" s="41">
        <v>33</v>
      </c>
      <c r="C362" s="41" t="s">
        <v>7</v>
      </c>
      <c r="D362" s="41" t="s">
        <v>20</v>
      </c>
      <c r="E362" s="41" t="s">
        <v>9</v>
      </c>
      <c r="F362" s="41" t="s">
        <v>23</v>
      </c>
      <c r="G362" s="41">
        <v>11842</v>
      </c>
      <c r="H362" s="41" t="str">
        <f t="shared" si="5"/>
        <v>26-35</v>
      </c>
    </row>
    <row r="363" spans="1:8" x14ac:dyDescent="0.3">
      <c r="A363" s="41">
        <v>359</v>
      </c>
      <c r="B363" s="41">
        <v>22</v>
      </c>
      <c r="C363" s="41" t="s">
        <v>13</v>
      </c>
      <c r="D363" s="41" t="s">
        <v>8</v>
      </c>
      <c r="E363" s="41" t="s">
        <v>16</v>
      </c>
      <c r="F363" s="41" t="s">
        <v>19</v>
      </c>
      <c r="G363" s="41">
        <v>18190</v>
      </c>
      <c r="H363" s="41" t="str">
        <f t="shared" si="5"/>
        <v>18-25</v>
      </c>
    </row>
    <row r="364" spans="1:8" x14ac:dyDescent="0.3">
      <c r="A364" s="41">
        <v>360</v>
      </c>
      <c r="B364" s="41">
        <v>21</v>
      </c>
      <c r="C364" s="41" t="s">
        <v>7</v>
      </c>
      <c r="D364" s="41" t="s">
        <v>8</v>
      </c>
      <c r="E364" s="41" t="s">
        <v>16</v>
      </c>
      <c r="F364" s="41" t="s">
        <v>10</v>
      </c>
      <c r="G364" s="41">
        <v>6681</v>
      </c>
      <c r="H364" s="41" t="str">
        <f t="shared" si="5"/>
        <v>18-25</v>
      </c>
    </row>
    <row r="365" spans="1:8" x14ac:dyDescent="0.3">
      <c r="A365" s="41">
        <v>361</v>
      </c>
      <c r="B365" s="41">
        <v>44</v>
      </c>
      <c r="C365" s="41" t="s">
        <v>7</v>
      </c>
      <c r="D365" s="41" t="s">
        <v>11</v>
      </c>
      <c r="E365" s="41" t="s">
        <v>21</v>
      </c>
      <c r="F365" s="41" t="s">
        <v>10</v>
      </c>
      <c r="G365" s="41">
        <v>6085</v>
      </c>
      <c r="H365" s="41" t="str">
        <f t="shared" si="5"/>
        <v>36-45</v>
      </c>
    </row>
    <row r="366" spans="1:8" x14ac:dyDescent="0.3">
      <c r="A366" s="41">
        <v>362</v>
      </c>
      <c r="B366" s="41">
        <v>20</v>
      </c>
      <c r="C366" s="41" t="s">
        <v>13</v>
      </c>
      <c r="D366" s="41" t="s">
        <v>8</v>
      </c>
      <c r="E366" s="41" t="s">
        <v>21</v>
      </c>
      <c r="F366" s="41" t="s">
        <v>19</v>
      </c>
      <c r="G366" s="41">
        <v>8177</v>
      </c>
      <c r="H366" s="41" t="str">
        <f t="shared" si="5"/>
        <v>18-25</v>
      </c>
    </row>
    <row r="367" spans="1:8" x14ac:dyDescent="0.3">
      <c r="A367" s="41">
        <v>363</v>
      </c>
      <c r="B367" s="41">
        <v>20</v>
      </c>
      <c r="C367" s="41" t="s">
        <v>13</v>
      </c>
      <c r="D367" s="41" t="s">
        <v>8</v>
      </c>
      <c r="E367" s="41" t="s">
        <v>14</v>
      </c>
      <c r="F367" s="41" t="s">
        <v>10</v>
      </c>
      <c r="G367" s="41">
        <v>4190</v>
      </c>
      <c r="H367" s="41" t="str">
        <f t="shared" si="5"/>
        <v>18-25</v>
      </c>
    </row>
    <row r="368" spans="1:8" x14ac:dyDescent="0.3">
      <c r="A368" s="41">
        <v>364</v>
      </c>
      <c r="B368" s="41">
        <v>19</v>
      </c>
      <c r="C368" s="41" t="s">
        <v>7</v>
      </c>
      <c r="D368" s="41" t="s">
        <v>8</v>
      </c>
      <c r="E368" s="41" t="s">
        <v>16</v>
      </c>
      <c r="F368" s="41" t="s">
        <v>10</v>
      </c>
      <c r="G368" s="41">
        <v>5427</v>
      </c>
      <c r="H368" s="41" t="str">
        <f t="shared" si="5"/>
        <v>18-25</v>
      </c>
    </row>
    <row r="369" spans="1:8" x14ac:dyDescent="0.3">
      <c r="A369" s="41">
        <v>365</v>
      </c>
      <c r="B369" s="41">
        <v>44</v>
      </c>
      <c r="C369" s="41" t="s">
        <v>13</v>
      </c>
      <c r="D369" s="41" t="s">
        <v>22</v>
      </c>
      <c r="E369" s="41" t="s">
        <v>9</v>
      </c>
      <c r="F369" s="41" t="s">
        <v>12</v>
      </c>
      <c r="G369" s="41">
        <v>7000</v>
      </c>
      <c r="H369" s="41" t="str">
        <f t="shared" si="5"/>
        <v>36-45</v>
      </c>
    </row>
    <row r="370" spans="1:8" x14ac:dyDescent="0.3">
      <c r="A370" s="41">
        <v>366</v>
      </c>
      <c r="B370" s="41">
        <v>20</v>
      </c>
      <c r="C370" s="41" t="s">
        <v>13</v>
      </c>
      <c r="D370" s="41" t="s">
        <v>8</v>
      </c>
      <c r="E370" s="41" t="s">
        <v>21</v>
      </c>
      <c r="F370" s="41" t="s">
        <v>24</v>
      </c>
      <c r="G370" s="41">
        <v>8983</v>
      </c>
      <c r="H370" s="41" t="str">
        <f t="shared" si="5"/>
        <v>18-25</v>
      </c>
    </row>
    <row r="371" spans="1:8" x14ac:dyDescent="0.3">
      <c r="A371" s="41">
        <v>367</v>
      </c>
      <c r="B371" s="41">
        <v>28</v>
      </c>
      <c r="C371" s="41" t="s">
        <v>13</v>
      </c>
      <c r="D371" s="41" t="s">
        <v>20</v>
      </c>
      <c r="E371" s="41" t="s">
        <v>21</v>
      </c>
      <c r="F371" s="41" t="s">
        <v>19</v>
      </c>
      <c r="G371" s="41">
        <v>21959</v>
      </c>
      <c r="H371" s="41" t="str">
        <f t="shared" si="5"/>
        <v>26-35</v>
      </c>
    </row>
    <row r="372" spans="1:8" x14ac:dyDescent="0.3">
      <c r="A372" s="41">
        <v>368</v>
      </c>
      <c r="B372" s="41">
        <v>24</v>
      </c>
      <c r="C372" s="41" t="s">
        <v>7</v>
      </c>
      <c r="D372" s="41" t="s">
        <v>20</v>
      </c>
      <c r="E372" s="41" t="s">
        <v>16</v>
      </c>
      <c r="F372" s="41" t="s">
        <v>12</v>
      </c>
      <c r="G372" s="41">
        <v>4156</v>
      </c>
      <c r="H372" s="41" t="str">
        <f t="shared" si="5"/>
        <v>18-25</v>
      </c>
    </row>
    <row r="373" spans="1:8" x14ac:dyDescent="0.3">
      <c r="A373" s="41">
        <v>369</v>
      </c>
      <c r="B373" s="41">
        <v>39</v>
      </c>
      <c r="C373" s="41" t="s">
        <v>13</v>
      </c>
      <c r="D373" s="41" t="s">
        <v>15</v>
      </c>
      <c r="E373" s="41" t="s">
        <v>14</v>
      </c>
      <c r="F373" s="41" t="s">
        <v>10</v>
      </c>
      <c r="G373" s="41">
        <v>2723</v>
      </c>
      <c r="H373" s="41" t="str">
        <f t="shared" si="5"/>
        <v>36-45</v>
      </c>
    </row>
    <row r="374" spans="1:8" x14ac:dyDescent="0.3">
      <c r="A374" s="41">
        <v>370</v>
      </c>
      <c r="B374" s="41">
        <v>51</v>
      </c>
      <c r="C374" s="41" t="s">
        <v>7</v>
      </c>
      <c r="D374" s="41" t="s">
        <v>15</v>
      </c>
      <c r="E374" s="41" t="s">
        <v>9</v>
      </c>
      <c r="F374" s="41" t="s">
        <v>10</v>
      </c>
      <c r="G374" s="41">
        <v>6188</v>
      </c>
      <c r="H374" s="41" t="str">
        <f t="shared" si="5"/>
        <v>46-60</v>
      </c>
    </row>
    <row r="375" spans="1:8" x14ac:dyDescent="0.3">
      <c r="A375" s="41">
        <v>371</v>
      </c>
      <c r="B375" s="41">
        <v>28</v>
      </c>
      <c r="C375" s="41" t="s">
        <v>13</v>
      </c>
      <c r="D375" s="41" t="s">
        <v>20</v>
      </c>
      <c r="E375" s="41" t="s">
        <v>9</v>
      </c>
      <c r="F375" s="41" t="s">
        <v>17</v>
      </c>
      <c r="G375" s="41">
        <v>14225</v>
      </c>
      <c r="H375" s="41" t="str">
        <f t="shared" si="5"/>
        <v>26-35</v>
      </c>
    </row>
    <row r="376" spans="1:8" x14ac:dyDescent="0.3">
      <c r="A376" s="41">
        <v>372</v>
      </c>
      <c r="B376" s="41">
        <v>19</v>
      </c>
      <c r="C376" s="41" t="s">
        <v>7</v>
      </c>
      <c r="D376" s="41" t="s">
        <v>8</v>
      </c>
      <c r="E376" s="41" t="s">
        <v>21</v>
      </c>
      <c r="F376" s="41" t="s">
        <v>19</v>
      </c>
      <c r="G376" s="41">
        <v>17083</v>
      </c>
      <c r="H376" s="41" t="str">
        <f t="shared" si="5"/>
        <v>18-25</v>
      </c>
    </row>
    <row r="377" spans="1:8" x14ac:dyDescent="0.3">
      <c r="A377" s="41">
        <v>373</v>
      </c>
      <c r="B377" s="41">
        <v>27</v>
      </c>
      <c r="C377" s="41" t="s">
        <v>7</v>
      </c>
      <c r="D377" s="41" t="s">
        <v>20</v>
      </c>
      <c r="E377" s="41" t="s">
        <v>14</v>
      </c>
      <c r="F377" s="41" t="s">
        <v>19</v>
      </c>
      <c r="G377" s="41">
        <v>20830</v>
      </c>
      <c r="H377" s="41" t="str">
        <f t="shared" si="5"/>
        <v>26-35</v>
      </c>
    </row>
    <row r="378" spans="1:8" x14ac:dyDescent="0.3">
      <c r="A378" s="41">
        <v>374</v>
      </c>
      <c r="B378" s="41">
        <v>26</v>
      </c>
      <c r="C378" s="41" t="s">
        <v>7</v>
      </c>
      <c r="D378" s="41" t="s">
        <v>20</v>
      </c>
      <c r="E378" s="41" t="s">
        <v>16</v>
      </c>
      <c r="F378" s="41" t="s">
        <v>24</v>
      </c>
      <c r="G378" s="41">
        <v>9192</v>
      </c>
      <c r="H378" s="41" t="str">
        <f t="shared" si="5"/>
        <v>26-35</v>
      </c>
    </row>
    <row r="379" spans="1:8" x14ac:dyDescent="0.3">
      <c r="A379" s="41">
        <v>375</v>
      </c>
      <c r="B379" s="41">
        <v>24</v>
      </c>
      <c r="C379" s="41" t="s">
        <v>13</v>
      </c>
      <c r="D379" s="41" t="s">
        <v>8</v>
      </c>
      <c r="E379" s="41" t="s">
        <v>9</v>
      </c>
      <c r="F379" s="41" t="s">
        <v>10</v>
      </c>
      <c r="G379" s="41">
        <v>5641</v>
      </c>
      <c r="H379" s="41" t="str">
        <f t="shared" si="5"/>
        <v>18-25</v>
      </c>
    </row>
    <row r="380" spans="1:8" x14ac:dyDescent="0.3">
      <c r="A380" s="41">
        <v>376</v>
      </c>
      <c r="B380" s="41">
        <v>25</v>
      </c>
      <c r="C380" s="41" t="s">
        <v>13</v>
      </c>
      <c r="D380" s="41" t="s">
        <v>8</v>
      </c>
      <c r="E380" s="41" t="s">
        <v>21</v>
      </c>
      <c r="F380" s="41" t="s">
        <v>10</v>
      </c>
      <c r="G380" s="41">
        <v>3329</v>
      </c>
      <c r="H380" s="41" t="str">
        <f t="shared" si="5"/>
        <v>18-25</v>
      </c>
    </row>
    <row r="381" spans="1:8" x14ac:dyDescent="0.3">
      <c r="A381" s="41">
        <v>377</v>
      </c>
      <c r="B381" s="41">
        <v>37</v>
      </c>
      <c r="C381" s="41" t="s">
        <v>7</v>
      </c>
      <c r="D381" s="41" t="s">
        <v>20</v>
      </c>
      <c r="E381" s="41" t="s">
        <v>9</v>
      </c>
      <c r="F381" s="41" t="s">
        <v>18</v>
      </c>
      <c r="G381" s="41">
        <v>6476</v>
      </c>
      <c r="H381" s="41" t="str">
        <f t="shared" si="5"/>
        <v>36-45</v>
      </c>
    </row>
    <row r="382" spans="1:8" x14ac:dyDescent="0.3">
      <c r="A382" s="41">
        <v>378</v>
      </c>
      <c r="B382" s="41">
        <v>20</v>
      </c>
      <c r="C382" s="41" t="s">
        <v>13</v>
      </c>
      <c r="D382" s="41" t="s">
        <v>8</v>
      </c>
      <c r="E382" s="41" t="s">
        <v>14</v>
      </c>
      <c r="F382" s="41" t="s">
        <v>10</v>
      </c>
      <c r="G382" s="41">
        <v>2165</v>
      </c>
      <c r="H382" s="41" t="str">
        <f t="shared" si="5"/>
        <v>18-25</v>
      </c>
    </row>
    <row r="383" spans="1:8" x14ac:dyDescent="0.3">
      <c r="A383" s="41">
        <v>379</v>
      </c>
      <c r="B383" s="41">
        <v>25</v>
      </c>
      <c r="C383" s="41" t="s">
        <v>13</v>
      </c>
      <c r="D383" s="41" t="s">
        <v>8</v>
      </c>
      <c r="E383" s="41" t="s">
        <v>16</v>
      </c>
      <c r="F383" s="41" t="s">
        <v>24</v>
      </c>
      <c r="G383" s="41">
        <v>18137</v>
      </c>
      <c r="H383" s="41" t="str">
        <f t="shared" si="5"/>
        <v>18-25</v>
      </c>
    </row>
    <row r="384" spans="1:8" x14ac:dyDescent="0.3">
      <c r="A384" s="41">
        <v>380</v>
      </c>
      <c r="B384" s="41">
        <v>24</v>
      </c>
      <c r="C384" s="41" t="s">
        <v>13</v>
      </c>
      <c r="D384" s="41" t="s">
        <v>8</v>
      </c>
      <c r="E384" s="41" t="s">
        <v>16</v>
      </c>
      <c r="F384" s="41" t="s">
        <v>10</v>
      </c>
      <c r="G384" s="41">
        <v>4539</v>
      </c>
      <c r="H384" s="41" t="str">
        <f t="shared" si="5"/>
        <v>18-25</v>
      </c>
    </row>
    <row r="385" spans="1:8" x14ac:dyDescent="0.3">
      <c r="A385" s="41">
        <v>381</v>
      </c>
      <c r="B385" s="41">
        <v>56</v>
      </c>
      <c r="C385" s="41" t="s">
        <v>13</v>
      </c>
      <c r="D385" s="41" t="s">
        <v>11</v>
      </c>
      <c r="E385" s="41" t="s">
        <v>14</v>
      </c>
      <c r="F385" s="41" t="s">
        <v>23</v>
      </c>
      <c r="G385" s="41">
        <v>4004</v>
      </c>
      <c r="H385" s="41" t="str">
        <f t="shared" si="5"/>
        <v>46-60</v>
      </c>
    </row>
    <row r="386" spans="1:8" x14ac:dyDescent="0.3">
      <c r="A386" s="41">
        <v>382</v>
      </c>
      <c r="B386" s="41">
        <v>42</v>
      </c>
      <c r="C386" s="41" t="s">
        <v>13</v>
      </c>
      <c r="D386" s="41" t="s">
        <v>20</v>
      </c>
      <c r="E386" s="41" t="s">
        <v>14</v>
      </c>
      <c r="F386" s="41" t="s">
        <v>12</v>
      </c>
      <c r="G386" s="41">
        <v>4112</v>
      </c>
      <c r="H386" s="41" t="str">
        <f t="shared" si="5"/>
        <v>36-45</v>
      </c>
    </row>
    <row r="387" spans="1:8" x14ac:dyDescent="0.3">
      <c r="A387" s="41">
        <v>383</v>
      </c>
      <c r="B387" s="41">
        <v>47</v>
      </c>
      <c r="C387" s="41" t="s">
        <v>7</v>
      </c>
      <c r="D387" s="41" t="s">
        <v>11</v>
      </c>
      <c r="E387" s="41" t="s">
        <v>16</v>
      </c>
      <c r="F387" s="41" t="s">
        <v>10</v>
      </c>
      <c r="G387" s="41">
        <v>5617</v>
      </c>
      <c r="H387" s="41" t="str">
        <f t="shared" si="5"/>
        <v>46-60</v>
      </c>
    </row>
    <row r="388" spans="1:8" x14ac:dyDescent="0.3">
      <c r="A388" s="41">
        <v>384</v>
      </c>
      <c r="B388" s="41">
        <v>37</v>
      </c>
      <c r="C388" s="41" t="s">
        <v>7</v>
      </c>
      <c r="D388" s="41" t="s">
        <v>20</v>
      </c>
      <c r="E388" s="41" t="s">
        <v>9</v>
      </c>
      <c r="F388" s="41" t="s">
        <v>12</v>
      </c>
      <c r="G388" s="41">
        <v>2004</v>
      </c>
      <c r="H388" s="41" t="str">
        <f t="shared" si="5"/>
        <v>36-45</v>
      </c>
    </row>
    <row r="389" spans="1:8" x14ac:dyDescent="0.3">
      <c r="A389" s="41">
        <v>385</v>
      </c>
      <c r="B389" s="41">
        <v>25</v>
      </c>
      <c r="C389" s="41" t="s">
        <v>13</v>
      </c>
      <c r="D389" s="41" t="s">
        <v>20</v>
      </c>
      <c r="E389" s="41" t="s">
        <v>9</v>
      </c>
      <c r="F389" s="41" t="s">
        <v>12</v>
      </c>
      <c r="G389" s="41">
        <v>3258</v>
      </c>
      <c r="H389" s="41" t="str">
        <f t="shared" si="5"/>
        <v>18-25</v>
      </c>
    </row>
    <row r="390" spans="1:8" x14ac:dyDescent="0.3">
      <c r="A390" s="41">
        <v>386</v>
      </c>
      <c r="B390" s="41">
        <v>52</v>
      </c>
      <c r="C390" s="41" t="s">
        <v>13</v>
      </c>
      <c r="D390" s="41" t="s">
        <v>20</v>
      </c>
      <c r="E390" s="41" t="s">
        <v>16</v>
      </c>
      <c r="F390" s="41" t="s">
        <v>10</v>
      </c>
      <c r="G390" s="41">
        <v>7812</v>
      </c>
      <c r="H390" s="41" t="str">
        <f t="shared" ref="H390:H453" si="6">IF(B390&lt;=25,"18-25",IF(B390&lt;=35,"26-35",IF(B390&lt;=45,"36-45","46-60")))</f>
        <v>46-60</v>
      </c>
    </row>
    <row r="391" spans="1:8" x14ac:dyDescent="0.3">
      <c r="A391" s="41">
        <v>387</v>
      </c>
      <c r="B391" s="41">
        <v>31</v>
      </c>
      <c r="C391" s="41" t="s">
        <v>7</v>
      </c>
      <c r="D391" s="41" t="s">
        <v>11</v>
      </c>
      <c r="E391" s="41" t="s">
        <v>9</v>
      </c>
      <c r="F391" s="41" t="s">
        <v>10</v>
      </c>
      <c r="G391" s="41">
        <v>6246</v>
      </c>
      <c r="H391" s="41" t="str">
        <f t="shared" si="6"/>
        <v>26-35</v>
      </c>
    </row>
    <row r="392" spans="1:8" x14ac:dyDescent="0.3">
      <c r="A392" s="41">
        <v>388</v>
      </c>
      <c r="B392" s="41">
        <v>19</v>
      </c>
      <c r="C392" s="41" t="s">
        <v>13</v>
      </c>
      <c r="D392" s="41" t="s">
        <v>8</v>
      </c>
      <c r="E392" s="41" t="s">
        <v>9</v>
      </c>
      <c r="F392" s="41" t="s">
        <v>19</v>
      </c>
      <c r="G392" s="41">
        <v>4621</v>
      </c>
      <c r="H392" s="41" t="str">
        <f t="shared" si="6"/>
        <v>18-25</v>
      </c>
    </row>
    <row r="393" spans="1:8" x14ac:dyDescent="0.3">
      <c r="A393" s="41">
        <v>389</v>
      </c>
      <c r="B393" s="41">
        <v>52</v>
      </c>
      <c r="C393" s="41" t="s">
        <v>13</v>
      </c>
      <c r="D393" s="41" t="s">
        <v>20</v>
      </c>
      <c r="E393" s="41" t="s">
        <v>9</v>
      </c>
      <c r="F393" s="41" t="s">
        <v>24</v>
      </c>
      <c r="G393" s="41">
        <v>17030</v>
      </c>
      <c r="H393" s="41" t="str">
        <f t="shared" si="6"/>
        <v>46-60</v>
      </c>
    </row>
    <row r="394" spans="1:8" x14ac:dyDescent="0.3">
      <c r="A394" s="41">
        <v>390</v>
      </c>
      <c r="B394" s="41">
        <v>56</v>
      </c>
      <c r="C394" s="41" t="s">
        <v>13</v>
      </c>
      <c r="D394" s="41" t="s">
        <v>11</v>
      </c>
      <c r="E394" s="41" t="s">
        <v>16</v>
      </c>
      <c r="F394" s="41" t="s">
        <v>12</v>
      </c>
      <c r="G394" s="41">
        <v>4087</v>
      </c>
      <c r="H394" s="41" t="str">
        <f t="shared" si="6"/>
        <v>46-60</v>
      </c>
    </row>
    <row r="395" spans="1:8" x14ac:dyDescent="0.3">
      <c r="A395" s="41">
        <v>391</v>
      </c>
      <c r="B395" s="41">
        <v>20</v>
      </c>
      <c r="C395" s="41" t="s">
        <v>7</v>
      </c>
      <c r="D395" s="41" t="s">
        <v>8</v>
      </c>
      <c r="E395" s="41" t="s">
        <v>9</v>
      </c>
      <c r="F395" s="41" t="s">
        <v>10</v>
      </c>
      <c r="G395" s="41">
        <v>8412</v>
      </c>
      <c r="H395" s="41" t="str">
        <f t="shared" si="6"/>
        <v>18-25</v>
      </c>
    </row>
    <row r="396" spans="1:8" x14ac:dyDescent="0.3">
      <c r="A396" s="41">
        <v>392</v>
      </c>
      <c r="B396" s="41">
        <v>34</v>
      </c>
      <c r="C396" s="41" t="s">
        <v>7</v>
      </c>
      <c r="D396" s="41" t="s">
        <v>22</v>
      </c>
      <c r="E396" s="41" t="s">
        <v>21</v>
      </c>
      <c r="F396" s="41" t="s">
        <v>10</v>
      </c>
      <c r="G396" s="41">
        <v>7727</v>
      </c>
      <c r="H396" s="41" t="str">
        <f t="shared" si="6"/>
        <v>26-35</v>
      </c>
    </row>
    <row r="397" spans="1:8" x14ac:dyDescent="0.3">
      <c r="A397" s="41">
        <v>393</v>
      </c>
      <c r="B397" s="41">
        <v>54</v>
      </c>
      <c r="C397" s="41" t="s">
        <v>7</v>
      </c>
      <c r="D397" s="41" t="s">
        <v>20</v>
      </c>
      <c r="E397" s="41" t="s">
        <v>14</v>
      </c>
      <c r="F397" s="41" t="s">
        <v>10</v>
      </c>
      <c r="G397" s="41">
        <v>4964</v>
      </c>
      <c r="H397" s="41" t="str">
        <f t="shared" si="6"/>
        <v>46-60</v>
      </c>
    </row>
    <row r="398" spans="1:8" x14ac:dyDescent="0.3">
      <c r="A398" s="41">
        <v>394</v>
      </c>
      <c r="B398" s="41">
        <v>30</v>
      </c>
      <c r="C398" s="41" t="s">
        <v>13</v>
      </c>
      <c r="D398" s="41" t="s">
        <v>15</v>
      </c>
      <c r="E398" s="41" t="s">
        <v>9</v>
      </c>
      <c r="F398" s="41" t="s">
        <v>12</v>
      </c>
      <c r="G398" s="41">
        <v>3946</v>
      </c>
      <c r="H398" s="41" t="str">
        <f t="shared" si="6"/>
        <v>26-35</v>
      </c>
    </row>
    <row r="399" spans="1:8" x14ac:dyDescent="0.3">
      <c r="A399" s="41">
        <v>395</v>
      </c>
      <c r="B399" s="41">
        <v>42</v>
      </c>
      <c r="C399" s="41" t="s">
        <v>7</v>
      </c>
      <c r="D399" s="41" t="s">
        <v>20</v>
      </c>
      <c r="E399" s="41" t="s">
        <v>9</v>
      </c>
      <c r="F399" s="41" t="s">
        <v>12</v>
      </c>
      <c r="G399" s="41">
        <v>2174</v>
      </c>
      <c r="H399" s="41" t="str">
        <f t="shared" si="6"/>
        <v>36-45</v>
      </c>
    </row>
    <row r="400" spans="1:8" x14ac:dyDescent="0.3">
      <c r="A400" s="41">
        <v>396</v>
      </c>
      <c r="B400" s="41">
        <v>34</v>
      </c>
      <c r="C400" s="41" t="s">
        <v>13</v>
      </c>
      <c r="D400" s="41" t="s">
        <v>20</v>
      </c>
      <c r="E400" s="41" t="s">
        <v>16</v>
      </c>
      <c r="F400" s="41" t="s">
        <v>10</v>
      </c>
      <c r="G400" s="41">
        <v>4116</v>
      </c>
      <c r="H400" s="41" t="str">
        <f t="shared" si="6"/>
        <v>26-35</v>
      </c>
    </row>
    <row r="401" spans="1:8" x14ac:dyDescent="0.3">
      <c r="A401" s="41">
        <v>397</v>
      </c>
      <c r="B401" s="41">
        <v>24</v>
      </c>
      <c r="C401" s="41" t="s">
        <v>7</v>
      </c>
      <c r="D401" s="41" t="s">
        <v>8</v>
      </c>
      <c r="E401" s="41" t="s">
        <v>9</v>
      </c>
      <c r="F401" s="41" t="s">
        <v>24</v>
      </c>
      <c r="G401" s="41">
        <v>13928</v>
      </c>
      <c r="H401" s="41" t="str">
        <f t="shared" si="6"/>
        <v>18-25</v>
      </c>
    </row>
    <row r="402" spans="1:8" x14ac:dyDescent="0.3">
      <c r="A402" s="41">
        <v>398</v>
      </c>
      <c r="B402" s="41">
        <v>55</v>
      </c>
      <c r="C402" s="41" t="s">
        <v>7</v>
      </c>
      <c r="D402" s="41" t="s">
        <v>20</v>
      </c>
      <c r="E402" s="41" t="s">
        <v>16</v>
      </c>
      <c r="F402" s="41" t="s">
        <v>23</v>
      </c>
      <c r="G402" s="41">
        <v>3446</v>
      </c>
      <c r="H402" s="41" t="str">
        <f t="shared" si="6"/>
        <v>46-60</v>
      </c>
    </row>
    <row r="403" spans="1:8" x14ac:dyDescent="0.3">
      <c r="A403" s="41">
        <v>399</v>
      </c>
      <c r="B403" s="41">
        <v>35</v>
      </c>
      <c r="C403" s="41" t="s">
        <v>13</v>
      </c>
      <c r="D403" s="41" t="s">
        <v>15</v>
      </c>
      <c r="E403" s="41" t="s">
        <v>21</v>
      </c>
      <c r="F403" s="41" t="s">
        <v>24</v>
      </c>
      <c r="G403" s="41">
        <v>2158</v>
      </c>
      <c r="H403" s="41" t="str">
        <f t="shared" si="6"/>
        <v>26-35</v>
      </c>
    </row>
    <row r="404" spans="1:8" x14ac:dyDescent="0.3">
      <c r="A404" s="41">
        <v>400</v>
      </c>
      <c r="B404" s="41">
        <v>22</v>
      </c>
      <c r="C404" s="41" t="s">
        <v>7</v>
      </c>
      <c r="D404" s="41" t="s">
        <v>8</v>
      </c>
      <c r="E404" s="41" t="s">
        <v>9</v>
      </c>
      <c r="F404" s="41" t="s">
        <v>10</v>
      </c>
      <c r="G404" s="41">
        <v>7333</v>
      </c>
      <c r="H404" s="41" t="str">
        <f t="shared" si="6"/>
        <v>18-25</v>
      </c>
    </row>
    <row r="405" spans="1:8" x14ac:dyDescent="0.3">
      <c r="A405" s="41">
        <v>401</v>
      </c>
      <c r="B405" s="41">
        <v>23</v>
      </c>
      <c r="C405" s="41" t="s">
        <v>7</v>
      </c>
      <c r="D405" s="41" t="s">
        <v>8</v>
      </c>
      <c r="E405" s="41" t="s">
        <v>16</v>
      </c>
      <c r="F405" s="41" t="s">
        <v>19</v>
      </c>
      <c r="G405" s="41">
        <v>20784</v>
      </c>
      <c r="H405" s="41" t="str">
        <f t="shared" si="6"/>
        <v>18-25</v>
      </c>
    </row>
    <row r="406" spans="1:8" x14ac:dyDescent="0.3">
      <c r="A406" s="41">
        <v>402</v>
      </c>
      <c r="B406" s="41">
        <v>51</v>
      </c>
      <c r="C406" s="41" t="s">
        <v>7</v>
      </c>
      <c r="D406" s="41" t="s">
        <v>15</v>
      </c>
      <c r="E406" s="41" t="s">
        <v>9</v>
      </c>
      <c r="F406" s="41" t="s">
        <v>24</v>
      </c>
      <c r="G406" s="41">
        <v>18897</v>
      </c>
      <c r="H406" s="41" t="str">
        <f t="shared" si="6"/>
        <v>46-60</v>
      </c>
    </row>
    <row r="407" spans="1:8" x14ac:dyDescent="0.3">
      <c r="A407" s="41">
        <v>403</v>
      </c>
      <c r="B407" s="41">
        <v>27</v>
      </c>
      <c r="C407" s="41" t="s">
        <v>7</v>
      </c>
      <c r="D407" s="41" t="s">
        <v>11</v>
      </c>
      <c r="E407" s="41" t="s">
        <v>14</v>
      </c>
      <c r="F407" s="41" t="s">
        <v>12</v>
      </c>
      <c r="G407" s="41">
        <v>1188</v>
      </c>
      <c r="H407" s="41" t="str">
        <f t="shared" si="6"/>
        <v>26-35</v>
      </c>
    </row>
    <row r="408" spans="1:8" x14ac:dyDescent="0.3">
      <c r="A408" s="41">
        <v>404</v>
      </c>
      <c r="B408" s="41">
        <v>45</v>
      </c>
      <c r="C408" s="41" t="s">
        <v>13</v>
      </c>
      <c r="D408" s="41" t="s">
        <v>20</v>
      </c>
      <c r="E408" s="41" t="s">
        <v>9</v>
      </c>
      <c r="F408" s="41" t="s">
        <v>10</v>
      </c>
      <c r="G408" s="41">
        <v>2645</v>
      </c>
      <c r="H408" s="41" t="str">
        <f t="shared" si="6"/>
        <v>36-45</v>
      </c>
    </row>
    <row r="409" spans="1:8" x14ac:dyDescent="0.3">
      <c r="A409" s="41">
        <v>405</v>
      </c>
      <c r="B409" s="41">
        <v>24</v>
      </c>
      <c r="C409" s="41" t="s">
        <v>7</v>
      </c>
      <c r="D409" s="41" t="s">
        <v>8</v>
      </c>
      <c r="E409" s="41" t="s">
        <v>16</v>
      </c>
      <c r="F409" s="41" t="s">
        <v>10</v>
      </c>
      <c r="G409" s="41">
        <v>5161</v>
      </c>
      <c r="H409" s="41" t="str">
        <f t="shared" si="6"/>
        <v>18-25</v>
      </c>
    </row>
    <row r="410" spans="1:8" x14ac:dyDescent="0.3">
      <c r="A410" s="41">
        <v>406</v>
      </c>
      <c r="B410" s="41">
        <v>42</v>
      </c>
      <c r="C410" s="41" t="s">
        <v>7</v>
      </c>
      <c r="D410" s="41" t="s">
        <v>15</v>
      </c>
      <c r="E410" s="41" t="s">
        <v>16</v>
      </c>
      <c r="F410" s="41" t="s">
        <v>17</v>
      </c>
      <c r="G410" s="41">
        <v>6103</v>
      </c>
      <c r="H410" s="41" t="str">
        <f t="shared" si="6"/>
        <v>36-45</v>
      </c>
    </row>
    <row r="411" spans="1:8" x14ac:dyDescent="0.3">
      <c r="A411" s="41">
        <v>407</v>
      </c>
      <c r="B411" s="41">
        <v>26</v>
      </c>
      <c r="C411" s="41" t="s">
        <v>13</v>
      </c>
      <c r="D411" s="41" t="s">
        <v>20</v>
      </c>
      <c r="E411" s="41" t="s">
        <v>14</v>
      </c>
      <c r="F411" s="41" t="s">
        <v>19</v>
      </c>
      <c r="G411" s="41">
        <v>6515</v>
      </c>
      <c r="H411" s="41" t="str">
        <f t="shared" si="6"/>
        <v>26-35</v>
      </c>
    </row>
    <row r="412" spans="1:8" x14ac:dyDescent="0.3">
      <c r="A412" s="41">
        <v>408</v>
      </c>
      <c r="B412" s="41">
        <v>21</v>
      </c>
      <c r="C412" s="41" t="s">
        <v>7</v>
      </c>
      <c r="D412" s="41" t="s">
        <v>8</v>
      </c>
      <c r="E412" s="41" t="s">
        <v>16</v>
      </c>
      <c r="F412" s="41" t="s">
        <v>17</v>
      </c>
      <c r="G412" s="41">
        <v>4675</v>
      </c>
      <c r="H412" s="41" t="str">
        <f t="shared" si="6"/>
        <v>18-25</v>
      </c>
    </row>
    <row r="413" spans="1:8" x14ac:dyDescent="0.3">
      <c r="A413" s="41">
        <v>409</v>
      </c>
      <c r="B413" s="41">
        <v>24</v>
      </c>
      <c r="C413" s="41" t="s">
        <v>13</v>
      </c>
      <c r="D413" s="41" t="s">
        <v>8</v>
      </c>
      <c r="E413" s="41" t="s">
        <v>16</v>
      </c>
      <c r="F413" s="41" t="s">
        <v>24</v>
      </c>
      <c r="G413" s="41">
        <v>5646</v>
      </c>
      <c r="H413" s="41" t="str">
        <f t="shared" si="6"/>
        <v>18-25</v>
      </c>
    </row>
    <row r="414" spans="1:8" x14ac:dyDescent="0.3">
      <c r="A414" s="41">
        <v>410</v>
      </c>
      <c r="B414" s="41">
        <v>34</v>
      </c>
      <c r="C414" s="41" t="s">
        <v>7</v>
      </c>
      <c r="D414" s="41" t="s">
        <v>20</v>
      </c>
      <c r="E414" s="41" t="s">
        <v>14</v>
      </c>
      <c r="F414" s="41" t="s">
        <v>10</v>
      </c>
      <c r="G414" s="41">
        <v>5646</v>
      </c>
      <c r="H414" s="41" t="str">
        <f t="shared" si="6"/>
        <v>26-35</v>
      </c>
    </row>
    <row r="415" spans="1:8" x14ac:dyDescent="0.3">
      <c r="A415" s="41">
        <v>411</v>
      </c>
      <c r="B415" s="41">
        <v>19</v>
      </c>
      <c r="C415" s="41" t="s">
        <v>7</v>
      </c>
      <c r="D415" s="41" t="s">
        <v>8</v>
      </c>
      <c r="E415" s="41" t="s">
        <v>16</v>
      </c>
      <c r="F415" s="41" t="s">
        <v>19</v>
      </c>
      <c r="G415" s="41">
        <v>21255</v>
      </c>
      <c r="H415" s="41" t="str">
        <f t="shared" si="6"/>
        <v>18-25</v>
      </c>
    </row>
    <row r="416" spans="1:8" x14ac:dyDescent="0.3">
      <c r="A416" s="41">
        <v>412</v>
      </c>
      <c r="B416" s="41">
        <v>49</v>
      </c>
      <c r="C416" s="41" t="s">
        <v>13</v>
      </c>
      <c r="D416" s="41" t="s">
        <v>22</v>
      </c>
      <c r="E416" s="41" t="s">
        <v>16</v>
      </c>
      <c r="F416" s="41" t="s">
        <v>19</v>
      </c>
      <c r="G416" s="41">
        <v>11486</v>
      </c>
      <c r="H416" s="41" t="str">
        <f t="shared" si="6"/>
        <v>46-60</v>
      </c>
    </row>
    <row r="417" spans="1:8" x14ac:dyDescent="0.3">
      <c r="A417" s="41">
        <v>413</v>
      </c>
      <c r="B417" s="41">
        <v>27</v>
      </c>
      <c r="C417" s="41" t="s">
        <v>13</v>
      </c>
      <c r="D417" s="41" t="s">
        <v>11</v>
      </c>
      <c r="E417" s="41" t="s">
        <v>14</v>
      </c>
      <c r="F417" s="41" t="s">
        <v>23</v>
      </c>
      <c r="G417" s="41">
        <v>5783</v>
      </c>
      <c r="H417" s="41" t="str">
        <f t="shared" si="6"/>
        <v>26-35</v>
      </c>
    </row>
    <row r="418" spans="1:8" x14ac:dyDescent="0.3">
      <c r="A418" s="41">
        <v>414</v>
      </c>
      <c r="B418" s="41">
        <v>27</v>
      </c>
      <c r="C418" s="41" t="s">
        <v>13</v>
      </c>
      <c r="D418" s="41" t="s">
        <v>22</v>
      </c>
      <c r="E418" s="41" t="s">
        <v>9</v>
      </c>
      <c r="F418" s="41" t="s">
        <v>24</v>
      </c>
      <c r="G418" s="41">
        <v>19850</v>
      </c>
      <c r="H418" s="41" t="str">
        <f t="shared" si="6"/>
        <v>26-35</v>
      </c>
    </row>
    <row r="419" spans="1:8" x14ac:dyDescent="0.3">
      <c r="A419" s="41">
        <v>415</v>
      </c>
      <c r="B419" s="41">
        <v>43</v>
      </c>
      <c r="C419" s="41" t="s">
        <v>13</v>
      </c>
      <c r="D419" s="41" t="s">
        <v>11</v>
      </c>
      <c r="E419" s="41" t="s">
        <v>14</v>
      </c>
      <c r="F419" s="41" t="s">
        <v>12</v>
      </c>
      <c r="G419" s="41">
        <v>5008</v>
      </c>
      <c r="H419" s="41" t="str">
        <f t="shared" si="6"/>
        <v>36-45</v>
      </c>
    </row>
    <row r="420" spans="1:8" x14ac:dyDescent="0.3">
      <c r="A420" s="41">
        <v>416</v>
      </c>
      <c r="B420" s="41">
        <v>45</v>
      </c>
      <c r="C420" s="41" t="s">
        <v>13</v>
      </c>
      <c r="D420" s="41" t="s">
        <v>20</v>
      </c>
      <c r="E420" s="41" t="s">
        <v>14</v>
      </c>
      <c r="F420" s="41" t="s">
        <v>17</v>
      </c>
      <c r="G420" s="41">
        <v>1612</v>
      </c>
      <c r="H420" s="41" t="str">
        <f t="shared" si="6"/>
        <v>36-45</v>
      </c>
    </row>
    <row r="421" spans="1:8" x14ac:dyDescent="0.3">
      <c r="A421" s="41">
        <v>417</v>
      </c>
      <c r="B421" s="41">
        <v>41</v>
      </c>
      <c r="C421" s="41" t="s">
        <v>13</v>
      </c>
      <c r="D421" s="41" t="s">
        <v>20</v>
      </c>
      <c r="E421" s="41" t="s">
        <v>16</v>
      </c>
      <c r="F421" s="41" t="s">
        <v>18</v>
      </c>
      <c r="G421" s="41">
        <v>2554</v>
      </c>
      <c r="H421" s="41" t="str">
        <f t="shared" si="6"/>
        <v>36-45</v>
      </c>
    </row>
    <row r="422" spans="1:8" x14ac:dyDescent="0.3">
      <c r="A422" s="41">
        <v>418</v>
      </c>
      <c r="B422" s="41">
        <v>49</v>
      </c>
      <c r="C422" s="41" t="s">
        <v>13</v>
      </c>
      <c r="D422" s="41" t="s">
        <v>11</v>
      </c>
      <c r="E422" s="41" t="s">
        <v>16</v>
      </c>
      <c r="F422" s="41" t="s">
        <v>10</v>
      </c>
      <c r="G422" s="41">
        <v>3808</v>
      </c>
      <c r="H422" s="41" t="str">
        <f t="shared" si="6"/>
        <v>46-60</v>
      </c>
    </row>
    <row r="423" spans="1:8" x14ac:dyDescent="0.3">
      <c r="A423" s="41">
        <v>419</v>
      </c>
      <c r="B423" s="41">
        <v>27</v>
      </c>
      <c r="C423" s="41" t="s">
        <v>13</v>
      </c>
      <c r="D423" s="41" t="s">
        <v>20</v>
      </c>
      <c r="E423" s="41" t="s">
        <v>21</v>
      </c>
      <c r="F423" s="41" t="s">
        <v>12</v>
      </c>
      <c r="G423" s="41">
        <v>5874</v>
      </c>
      <c r="H423" s="41" t="str">
        <f t="shared" si="6"/>
        <v>26-35</v>
      </c>
    </row>
    <row r="424" spans="1:8" x14ac:dyDescent="0.3">
      <c r="A424" s="41">
        <v>420</v>
      </c>
      <c r="B424" s="41">
        <v>18</v>
      </c>
      <c r="C424" s="41" t="s">
        <v>13</v>
      </c>
      <c r="D424" s="41" t="s">
        <v>8</v>
      </c>
      <c r="E424" s="41" t="s">
        <v>21</v>
      </c>
      <c r="F424" s="41" t="s">
        <v>10</v>
      </c>
      <c r="G424" s="41">
        <v>3692</v>
      </c>
      <c r="H424" s="41" t="str">
        <f t="shared" si="6"/>
        <v>18-25</v>
      </c>
    </row>
    <row r="425" spans="1:8" x14ac:dyDescent="0.3">
      <c r="A425" s="41">
        <v>421</v>
      </c>
      <c r="B425" s="41">
        <v>25</v>
      </c>
      <c r="C425" s="41" t="s">
        <v>13</v>
      </c>
      <c r="D425" s="41" t="s">
        <v>8</v>
      </c>
      <c r="E425" s="41" t="s">
        <v>21</v>
      </c>
      <c r="F425" s="41" t="s">
        <v>24</v>
      </c>
      <c r="G425" s="41">
        <v>15285</v>
      </c>
      <c r="H425" s="41" t="str">
        <f t="shared" si="6"/>
        <v>18-25</v>
      </c>
    </row>
    <row r="426" spans="1:8" x14ac:dyDescent="0.3">
      <c r="A426" s="41">
        <v>422</v>
      </c>
      <c r="B426" s="41">
        <v>25</v>
      </c>
      <c r="C426" s="41" t="s">
        <v>7</v>
      </c>
      <c r="D426" s="41" t="s">
        <v>15</v>
      </c>
      <c r="E426" s="41" t="s">
        <v>14</v>
      </c>
      <c r="F426" s="41" t="s">
        <v>18</v>
      </c>
      <c r="G426" s="41">
        <v>7364</v>
      </c>
      <c r="H426" s="41" t="str">
        <f t="shared" si="6"/>
        <v>18-25</v>
      </c>
    </row>
    <row r="427" spans="1:8" x14ac:dyDescent="0.3">
      <c r="A427" s="41">
        <v>423</v>
      </c>
      <c r="B427" s="41">
        <v>31</v>
      </c>
      <c r="C427" s="41" t="s">
        <v>7</v>
      </c>
      <c r="D427" s="41" t="s">
        <v>20</v>
      </c>
      <c r="E427" s="41" t="s">
        <v>9</v>
      </c>
      <c r="F427" s="41" t="s">
        <v>19</v>
      </c>
      <c r="G427" s="41">
        <v>13637</v>
      </c>
      <c r="H427" s="41" t="str">
        <f t="shared" si="6"/>
        <v>26-35</v>
      </c>
    </row>
    <row r="428" spans="1:8" x14ac:dyDescent="0.3">
      <c r="A428" s="41">
        <v>424</v>
      </c>
      <c r="B428" s="41">
        <v>31</v>
      </c>
      <c r="C428" s="41" t="s">
        <v>7</v>
      </c>
      <c r="D428" s="41" t="s">
        <v>20</v>
      </c>
      <c r="E428" s="41" t="s">
        <v>9</v>
      </c>
      <c r="F428" s="41" t="s">
        <v>12</v>
      </c>
      <c r="G428" s="41">
        <v>1165</v>
      </c>
      <c r="H428" s="41" t="str">
        <f t="shared" si="6"/>
        <v>26-35</v>
      </c>
    </row>
    <row r="429" spans="1:8" x14ac:dyDescent="0.3">
      <c r="A429" s="41">
        <v>425</v>
      </c>
      <c r="B429" s="41">
        <v>24</v>
      </c>
      <c r="C429" s="41" t="s">
        <v>13</v>
      </c>
      <c r="D429" s="41" t="s">
        <v>8</v>
      </c>
      <c r="E429" s="41" t="s">
        <v>16</v>
      </c>
      <c r="F429" s="41" t="s">
        <v>18</v>
      </c>
      <c r="G429" s="41">
        <v>1301</v>
      </c>
      <c r="H429" s="41" t="str">
        <f t="shared" si="6"/>
        <v>18-25</v>
      </c>
    </row>
    <row r="430" spans="1:8" x14ac:dyDescent="0.3">
      <c r="A430" s="41">
        <v>426</v>
      </c>
      <c r="B430" s="41">
        <v>48</v>
      </c>
      <c r="C430" s="41" t="s">
        <v>13</v>
      </c>
      <c r="D430" s="41" t="s">
        <v>20</v>
      </c>
      <c r="E430" s="41" t="s">
        <v>21</v>
      </c>
      <c r="F430" s="41" t="s">
        <v>10</v>
      </c>
      <c r="G430" s="41">
        <v>2435</v>
      </c>
      <c r="H430" s="41" t="str">
        <f t="shared" si="6"/>
        <v>46-60</v>
      </c>
    </row>
    <row r="431" spans="1:8" x14ac:dyDescent="0.3">
      <c r="A431" s="41">
        <v>427</v>
      </c>
      <c r="B431" s="41">
        <v>28</v>
      </c>
      <c r="C431" s="41" t="s">
        <v>13</v>
      </c>
      <c r="D431" s="41" t="s">
        <v>22</v>
      </c>
      <c r="E431" s="41" t="s">
        <v>16</v>
      </c>
      <c r="F431" s="41" t="s">
        <v>24</v>
      </c>
      <c r="G431" s="41">
        <v>9605</v>
      </c>
      <c r="H431" s="41" t="str">
        <f t="shared" si="6"/>
        <v>26-35</v>
      </c>
    </row>
    <row r="432" spans="1:8" x14ac:dyDescent="0.3">
      <c r="A432" s="41">
        <v>428</v>
      </c>
      <c r="B432" s="41">
        <v>24</v>
      </c>
      <c r="C432" s="41" t="s">
        <v>7</v>
      </c>
      <c r="D432" s="41" t="s">
        <v>8</v>
      </c>
      <c r="E432" s="41" t="s">
        <v>9</v>
      </c>
      <c r="F432" s="41" t="s">
        <v>12</v>
      </c>
      <c r="G432" s="41">
        <v>6659</v>
      </c>
      <c r="H432" s="41" t="str">
        <f t="shared" si="6"/>
        <v>18-25</v>
      </c>
    </row>
    <row r="433" spans="1:8" x14ac:dyDescent="0.3">
      <c r="A433" s="41">
        <v>429</v>
      </c>
      <c r="B433" s="41">
        <v>59</v>
      </c>
      <c r="C433" s="41" t="s">
        <v>13</v>
      </c>
      <c r="D433" s="41" t="s">
        <v>11</v>
      </c>
      <c r="E433" s="41" t="s">
        <v>21</v>
      </c>
      <c r="F433" s="41" t="s">
        <v>23</v>
      </c>
      <c r="G433" s="41">
        <v>7901</v>
      </c>
      <c r="H433" s="41" t="str">
        <f t="shared" si="6"/>
        <v>46-60</v>
      </c>
    </row>
    <row r="434" spans="1:8" x14ac:dyDescent="0.3">
      <c r="A434" s="41">
        <v>430</v>
      </c>
      <c r="B434" s="41">
        <v>51</v>
      </c>
      <c r="C434" s="41" t="s">
        <v>7</v>
      </c>
      <c r="D434" s="41" t="s">
        <v>20</v>
      </c>
      <c r="E434" s="41" t="s">
        <v>16</v>
      </c>
      <c r="F434" s="41" t="s">
        <v>10</v>
      </c>
      <c r="G434" s="41">
        <v>2916</v>
      </c>
      <c r="H434" s="41" t="str">
        <f t="shared" si="6"/>
        <v>46-60</v>
      </c>
    </row>
    <row r="435" spans="1:8" x14ac:dyDescent="0.3">
      <c r="A435" s="41">
        <v>431</v>
      </c>
      <c r="B435" s="41">
        <v>29</v>
      </c>
      <c r="C435" s="41" t="s">
        <v>7</v>
      </c>
      <c r="D435" s="41" t="s">
        <v>22</v>
      </c>
      <c r="E435" s="41" t="s">
        <v>16</v>
      </c>
      <c r="F435" s="41" t="s">
        <v>18</v>
      </c>
      <c r="G435" s="41">
        <v>6203</v>
      </c>
      <c r="H435" s="41" t="str">
        <f t="shared" si="6"/>
        <v>26-35</v>
      </c>
    </row>
    <row r="436" spans="1:8" x14ac:dyDescent="0.3">
      <c r="A436" s="41">
        <v>432</v>
      </c>
      <c r="B436" s="41">
        <v>23</v>
      </c>
      <c r="C436" s="41" t="s">
        <v>13</v>
      </c>
      <c r="D436" s="41" t="s">
        <v>20</v>
      </c>
      <c r="E436" s="41" t="s">
        <v>14</v>
      </c>
      <c r="F436" s="41" t="s">
        <v>10</v>
      </c>
      <c r="G436" s="41">
        <v>3320</v>
      </c>
      <c r="H436" s="41" t="str">
        <f t="shared" si="6"/>
        <v>18-25</v>
      </c>
    </row>
    <row r="437" spans="1:8" x14ac:dyDescent="0.3">
      <c r="A437" s="41">
        <v>433</v>
      </c>
      <c r="B437" s="41">
        <v>48</v>
      </c>
      <c r="C437" s="41" t="s">
        <v>7</v>
      </c>
      <c r="D437" s="41" t="s">
        <v>22</v>
      </c>
      <c r="E437" s="41" t="s">
        <v>9</v>
      </c>
      <c r="F437" s="41" t="s">
        <v>10</v>
      </c>
      <c r="G437" s="41">
        <v>5480</v>
      </c>
      <c r="H437" s="41" t="str">
        <f t="shared" si="6"/>
        <v>46-60</v>
      </c>
    </row>
    <row r="438" spans="1:8" x14ac:dyDescent="0.3">
      <c r="A438" s="41">
        <v>434</v>
      </c>
      <c r="B438" s="41">
        <v>27</v>
      </c>
      <c r="C438" s="41" t="s">
        <v>7</v>
      </c>
      <c r="D438" s="41" t="s">
        <v>20</v>
      </c>
      <c r="E438" s="41" t="s">
        <v>14</v>
      </c>
      <c r="F438" s="41" t="s">
        <v>24</v>
      </c>
      <c r="G438" s="41">
        <v>5531</v>
      </c>
      <c r="H438" s="41" t="str">
        <f t="shared" si="6"/>
        <v>26-35</v>
      </c>
    </row>
    <row r="439" spans="1:8" x14ac:dyDescent="0.3">
      <c r="A439" s="41">
        <v>435</v>
      </c>
      <c r="B439" s="41">
        <v>56</v>
      </c>
      <c r="C439" s="41" t="s">
        <v>13</v>
      </c>
      <c r="D439" s="41" t="s">
        <v>15</v>
      </c>
      <c r="E439" s="41" t="s">
        <v>14</v>
      </c>
      <c r="F439" s="41" t="s">
        <v>17</v>
      </c>
      <c r="G439" s="41">
        <v>5041</v>
      </c>
      <c r="H439" s="41" t="str">
        <f t="shared" si="6"/>
        <v>46-60</v>
      </c>
    </row>
    <row r="440" spans="1:8" x14ac:dyDescent="0.3">
      <c r="A440" s="41">
        <v>436</v>
      </c>
      <c r="B440" s="41">
        <v>37</v>
      </c>
      <c r="C440" s="41" t="s">
        <v>7</v>
      </c>
      <c r="D440" s="41" t="s">
        <v>11</v>
      </c>
      <c r="E440" s="41" t="s">
        <v>21</v>
      </c>
      <c r="F440" s="41" t="s">
        <v>23</v>
      </c>
      <c r="G440" s="41">
        <v>11938</v>
      </c>
      <c r="H440" s="41" t="str">
        <f t="shared" si="6"/>
        <v>36-45</v>
      </c>
    </row>
    <row r="441" spans="1:8" x14ac:dyDescent="0.3">
      <c r="A441" s="41">
        <v>437</v>
      </c>
      <c r="B441" s="41">
        <v>27</v>
      </c>
      <c r="C441" s="41" t="s">
        <v>13</v>
      </c>
      <c r="D441" s="41" t="s">
        <v>20</v>
      </c>
      <c r="E441" s="41" t="s">
        <v>21</v>
      </c>
      <c r="F441" s="41" t="s">
        <v>18</v>
      </c>
      <c r="G441" s="41">
        <v>4538</v>
      </c>
      <c r="H441" s="41" t="str">
        <f t="shared" si="6"/>
        <v>26-35</v>
      </c>
    </row>
    <row r="442" spans="1:8" x14ac:dyDescent="0.3">
      <c r="A442" s="41">
        <v>438</v>
      </c>
      <c r="B442" s="41">
        <v>25</v>
      </c>
      <c r="C442" s="41" t="s">
        <v>13</v>
      </c>
      <c r="D442" s="41" t="s">
        <v>8</v>
      </c>
      <c r="E442" s="41" t="s">
        <v>9</v>
      </c>
      <c r="F442" s="41" t="s">
        <v>12</v>
      </c>
      <c r="G442" s="41">
        <v>3410</v>
      </c>
      <c r="H442" s="41" t="str">
        <f t="shared" si="6"/>
        <v>18-25</v>
      </c>
    </row>
    <row r="443" spans="1:8" x14ac:dyDescent="0.3">
      <c r="A443" s="41">
        <v>439</v>
      </c>
      <c r="B443" s="41">
        <v>18</v>
      </c>
      <c r="C443" s="41" t="s">
        <v>7</v>
      </c>
      <c r="D443" s="41" t="s">
        <v>8</v>
      </c>
      <c r="E443" s="41" t="s">
        <v>9</v>
      </c>
      <c r="F443" s="41" t="s">
        <v>18</v>
      </c>
      <c r="G443" s="41">
        <v>7523</v>
      </c>
      <c r="H443" s="41" t="str">
        <f t="shared" si="6"/>
        <v>18-25</v>
      </c>
    </row>
    <row r="444" spans="1:8" x14ac:dyDescent="0.3">
      <c r="A444" s="41">
        <v>440</v>
      </c>
      <c r="B444" s="41">
        <v>51</v>
      </c>
      <c r="C444" s="41" t="s">
        <v>7</v>
      </c>
      <c r="D444" s="41" t="s">
        <v>20</v>
      </c>
      <c r="E444" s="41" t="s">
        <v>16</v>
      </c>
      <c r="F444" s="41" t="s">
        <v>12</v>
      </c>
      <c r="G444" s="41">
        <v>1097</v>
      </c>
      <c r="H444" s="41" t="str">
        <f t="shared" si="6"/>
        <v>46-60</v>
      </c>
    </row>
    <row r="445" spans="1:8" x14ac:dyDescent="0.3">
      <c r="A445" s="41">
        <v>441</v>
      </c>
      <c r="B445" s="41">
        <v>19</v>
      </c>
      <c r="C445" s="41" t="s">
        <v>13</v>
      </c>
      <c r="D445" s="41" t="s">
        <v>8</v>
      </c>
      <c r="E445" s="41" t="s">
        <v>9</v>
      </c>
      <c r="F445" s="41" t="s">
        <v>19</v>
      </c>
      <c r="G445" s="41">
        <v>14782</v>
      </c>
      <c r="H445" s="41" t="str">
        <f t="shared" si="6"/>
        <v>18-25</v>
      </c>
    </row>
    <row r="446" spans="1:8" x14ac:dyDescent="0.3">
      <c r="A446" s="41">
        <v>442</v>
      </c>
      <c r="B446" s="41">
        <v>40</v>
      </c>
      <c r="C446" s="41" t="s">
        <v>13</v>
      </c>
      <c r="D446" s="41" t="s">
        <v>20</v>
      </c>
      <c r="E446" s="41" t="s">
        <v>16</v>
      </c>
      <c r="F446" s="41" t="s">
        <v>17</v>
      </c>
      <c r="G446" s="41">
        <v>13048</v>
      </c>
      <c r="H446" s="41" t="str">
        <f t="shared" si="6"/>
        <v>36-45</v>
      </c>
    </row>
    <row r="447" spans="1:8" x14ac:dyDescent="0.3">
      <c r="A447" s="41">
        <v>443</v>
      </c>
      <c r="B447" s="41">
        <v>45</v>
      </c>
      <c r="C447" s="41" t="s">
        <v>13</v>
      </c>
      <c r="D447" s="41" t="s">
        <v>20</v>
      </c>
      <c r="E447" s="41" t="s">
        <v>16</v>
      </c>
      <c r="F447" s="41" t="s">
        <v>17</v>
      </c>
      <c r="G447" s="41">
        <v>7777</v>
      </c>
      <c r="H447" s="41" t="str">
        <f t="shared" si="6"/>
        <v>36-45</v>
      </c>
    </row>
    <row r="448" spans="1:8" x14ac:dyDescent="0.3">
      <c r="A448" s="41">
        <v>444</v>
      </c>
      <c r="B448" s="41">
        <v>51</v>
      </c>
      <c r="C448" s="41" t="s">
        <v>7</v>
      </c>
      <c r="D448" s="41" t="s">
        <v>20</v>
      </c>
      <c r="E448" s="41" t="s">
        <v>21</v>
      </c>
      <c r="F448" s="41" t="s">
        <v>12</v>
      </c>
      <c r="G448" s="41">
        <v>1607</v>
      </c>
      <c r="H448" s="41" t="str">
        <f t="shared" si="6"/>
        <v>46-60</v>
      </c>
    </row>
    <row r="449" spans="1:8" x14ac:dyDescent="0.3">
      <c r="A449" s="41">
        <v>445</v>
      </c>
      <c r="B449" s="41">
        <v>22</v>
      </c>
      <c r="C449" s="41" t="s">
        <v>13</v>
      </c>
      <c r="D449" s="41" t="s">
        <v>8</v>
      </c>
      <c r="E449" s="41" t="s">
        <v>14</v>
      </c>
      <c r="F449" s="41" t="s">
        <v>19</v>
      </c>
      <c r="G449" s="41">
        <v>14780</v>
      </c>
      <c r="H449" s="41" t="str">
        <f t="shared" si="6"/>
        <v>18-25</v>
      </c>
    </row>
    <row r="450" spans="1:8" x14ac:dyDescent="0.3">
      <c r="A450" s="41">
        <v>446</v>
      </c>
      <c r="B450" s="41">
        <v>31</v>
      </c>
      <c r="C450" s="41" t="s">
        <v>13</v>
      </c>
      <c r="D450" s="41" t="s">
        <v>22</v>
      </c>
      <c r="E450" s="41" t="s">
        <v>14</v>
      </c>
      <c r="F450" s="41" t="s">
        <v>12</v>
      </c>
      <c r="G450" s="41">
        <v>1150</v>
      </c>
      <c r="H450" s="41" t="str">
        <f t="shared" si="6"/>
        <v>26-35</v>
      </c>
    </row>
    <row r="451" spans="1:8" x14ac:dyDescent="0.3">
      <c r="A451" s="41">
        <v>447</v>
      </c>
      <c r="B451" s="41">
        <v>42</v>
      </c>
      <c r="C451" s="41" t="s">
        <v>13</v>
      </c>
      <c r="D451" s="41" t="s">
        <v>20</v>
      </c>
      <c r="E451" s="41" t="s">
        <v>14</v>
      </c>
      <c r="F451" s="41" t="s">
        <v>12</v>
      </c>
      <c r="G451" s="41">
        <v>5742</v>
      </c>
      <c r="H451" s="41" t="str">
        <f t="shared" si="6"/>
        <v>36-45</v>
      </c>
    </row>
    <row r="452" spans="1:8" x14ac:dyDescent="0.3">
      <c r="A452" s="41">
        <v>448</v>
      </c>
      <c r="B452" s="41">
        <v>23</v>
      </c>
      <c r="C452" s="41" t="s">
        <v>7</v>
      </c>
      <c r="D452" s="41" t="s">
        <v>8</v>
      </c>
      <c r="E452" s="41" t="s">
        <v>14</v>
      </c>
      <c r="F452" s="41" t="s">
        <v>10</v>
      </c>
      <c r="G452" s="41">
        <v>2163</v>
      </c>
      <c r="H452" s="41" t="str">
        <f t="shared" si="6"/>
        <v>18-25</v>
      </c>
    </row>
    <row r="453" spans="1:8" x14ac:dyDescent="0.3">
      <c r="A453" s="41">
        <v>449</v>
      </c>
      <c r="B453" s="41">
        <v>30</v>
      </c>
      <c r="C453" s="41" t="s">
        <v>13</v>
      </c>
      <c r="D453" s="41" t="s">
        <v>20</v>
      </c>
      <c r="E453" s="41" t="s">
        <v>21</v>
      </c>
      <c r="F453" s="41" t="s">
        <v>10</v>
      </c>
      <c r="G453" s="41">
        <v>8811</v>
      </c>
      <c r="H453" s="41" t="str">
        <f t="shared" si="6"/>
        <v>26-35</v>
      </c>
    </row>
    <row r="454" spans="1:8" x14ac:dyDescent="0.3">
      <c r="A454" s="41">
        <v>450</v>
      </c>
      <c r="B454" s="41">
        <v>56</v>
      </c>
      <c r="C454" s="41" t="s">
        <v>13</v>
      </c>
      <c r="D454" s="41" t="s">
        <v>15</v>
      </c>
      <c r="E454" s="41" t="s">
        <v>21</v>
      </c>
      <c r="F454" s="41" t="s">
        <v>10</v>
      </c>
      <c r="G454" s="41">
        <v>7864</v>
      </c>
      <c r="H454" s="41" t="str">
        <f t="shared" ref="H454:H504" si="7">IF(B454&lt;=25,"18-25",IF(B454&lt;=35,"26-35",IF(B454&lt;=45,"36-45","46-60")))</f>
        <v>46-60</v>
      </c>
    </row>
    <row r="455" spans="1:8" x14ac:dyDescent="0.3">
      <c r="A455" s="41">
        <v>451</v>
      </c>
      <c r="B455" s="41">
        <v>43</v>
      </c>
      <c r="C455" s="41" t="s">
        <v>13</v>
      </c>
      <c r="D455" s="41" t="s">
        <v>15</v>
      </c>
      <c r="E455" s="41" t="s">
        <v>21</v>
      </c>
      <c r="F455" s="41" t="s">
        <v>10</v>
      </c>
      <c r="G455" s="41">
        <v>5594</v>
      </c>
      <c r="H455" s="41" t="str">
        <f t="shared" si="7"/>
        <v>36-45</v>
      </c>
    </row>
    <row r="456" spans="1:8" x14ac:dyDescent="0.3">
      <c r="A456" s="41">
        <v>452</v>
      </c>
      <c r="B456" s="41">
        <v>22</v>
      </c>
      <c r="C456" s="41" t="s">
        <v>7</v>
      </c>
      <c r="D456" s="41" t="s">
        <v>8</v>
      </c>
      <c r="E456" s="41" t="s">
        <v>9</v>
      </c>
      <c r="F456" s="41" t="s">
        <v>19</v>
      </c>
      <c r="G456" s="41">
        <v>21294</v>
      </c>
      <c r="H456" s="41" t="str">
        <f t="shared" si="7"/>
        <v>18-25</v>
      </c>
    </row>
    <row r="457" spans="1:8" x14ac:dyDescent="0.3">
      <c r="A457" s="41">
        <v>453</v>
      </c>
      <c r="B457" s="41">
        <v>25</v>
      </c>
      <c r="C457" s="41" t="s">
        <v>7</v>
      </c>
      <c r="D457" s="41" t="s">
        <v>8</v>
      </c>
      <c r="E457" s="41" t="s">
        <v>16</v>
      </c>
      <c r="F457" s="41" t="s">
        <v>10</v>
      </c>
      <c r="G457" s="41">
        <v>5284</v>
      </c>
      <c r="H457" s="41" t="str">
        <f t="shared" si="7"/>
        <v>18-25</v>
      </c>
    </row>
    <row r="458" spans="1:8" x14ac:dyDescent="0.3">
      <c r="A458" s="41">
        <v>454</v>
      </c>
      <c r="B458" s="41">
        <v>25</v>
      </c>
      <c r="C458" s="41" t="s">
        <v>7</v>
      </c>
      <c r="D458" s="41" t="s">
        <v>8</v>
      </c>
      <c r="E458" s="41" t="s">
        <v>14</v>
      </c>
      <c r="F458" s="41" t="s">
        <v>12</v>
      </c>
      <c r="G458" s="41">
        <v>3438</v>
      </c>
      <c r="H458" s="41" t="str">
        <f t="shared" si="7"/>
        <v>18-25</v>
      </c>
    </row>
    <row r="459" spans="1:8" x14ac:dyDescent="0.3">
      <c r="A459" s="41">
        <v>455</v>
      </c>
      <c r="B459" s="41">
        <v>45</v>
      </c>
      <c r="C459" s="41" t="s">
        <v>13</v>
      </c>
      <c r="D459" s="41" t="s">
        <v>20</v>
      </c>
      <c r="E459" s="41" t="s">
        <v>9</v>
      </c>
      <c r="F459" s="41" t="s">
        <v>24</v>
      </c>
      <c r="G459" s="41">
        <v>17234</v>
      </c>
      <c r="H459" s="41" t="str">
        <f t="shared" si="7"/>
        <v>36-45</v>
      </c>
    </row>
    <row r="460" spans="1:8" x14ac:dyDescent="0.3">
      <c r="A460" s="41">
        <v>456</v>
      </c>
      <c r="B460" s="41">
        <v>40</v>
      </c>
      <c r="C460" s="41" t="s">
        <v>7</v>
      </c>
      <c r="D460" s="41" t="s">
        <v>20</v>
      </c>
      <c r="E460" s="41" t="s">
        <v>16</v>
      </c>
      <c r="F460" s="41" t="s">
        <v>10</v>
      </c>
      <c r="G460" s="41">
        <v>1857</v>
      </c>
      <c r="H460" s="41" t="str">
        <f t="shared" si="7"/>
        <v>36-45</v>
      </c>
    </row>
    <row r="461" spans="1:8" x14ac:dyDescent="0.3">
      <c r="A461" s="41">
        <v>457</v>
      </c>
      <c r="B461" s="41">
        <v>37</v>
      </c>
      <c r="C461" s="41" t="s">
        <v>7</v>
      </c>
      <c r="D461" s="41" t="s">
        <v>20</v>
      </c>
      <c r="E461" s="41" t="s">
        <v>16</v>
      </c>
      <c r="F461" s="41" t="s">
        <v>10</v>
      </c>
      <c r="G461" s="41">
        <v>3351</v>
      </c>
      <c r="H461" s="41" t="str">
        <f t="shared" si="7"/>
        <v>36-45</v>
      </c>
    </row>
    <row r="462" spans="1:8" x14ac:dyDescent="0.3">
      <c r="A462" s="41">
        <v>458</v>
      </c>
      <c r="B462" s="41">
        <v>19</v>
      </c>
      <c r="C462" s="41" t="s">
        <v>13</v>
      </c>
      <c r="D462" s="41" t="s">
        <v>8</v>
      </c>
      <c r="E462" s="41" t="s">
        <v>21</v>
      </c>
      <c r="F462" s="41" t="s">
        <v>19</v>
      </c>
      <c r="G462" s="41">
        <v>24273</v>
      </c>
      <c r="H462" s="41" t="str">
        <f t="shared" si="7"/>
        <v>18-25</v>
      </c>
    </row>
    <row r="463" spans="1:8" x14ac:dyDescent="0.3">
      <c r="A463" s="41">
        <v>459</v>
      </c>
      <c r="B463" s="41">
        <v>20</v>
      </c>
      <c r="C463" s="41" t="s">
        <v>13</v>
      </c>
      <c r="D463" s="41" t="s">
        <v>8</v>
      </c>
      <c r="E463" s="41" t="s">
        <v>16</v>
      </c>
      <c r="F463" s="41" t="s">
        <v>24</v>
      </c>
      <c r="G463" s="41">
        <v>7640</v>
      </c>
      <c r="H463" s="41" t="str">
        <f t="shared" si="7"/>
        <v>18-25</v>
      </c>
    </row>
    <row r="464" spans="1:8" x14ac:dyDescent="0.3">
      <c r="A464" s="41">
        <v>460</v>
      </c>
      <c r="B464" s="41">
        <v>29</v>
      </c>
      <c r="C464" s="41" t="s">
        <v>7</v>
      </c>
      <c r="D464" s="41" t="s">
        <v>20</v>
      </c>
      <c r="E464" s="41" t="s">
        <v>21</v>
      </c>
      <c r="F464" s="41" t="s">
        <v>10</v>
      </c>
      <c r="G464" s="41">
        <v>6852</v>
      </c>
      <c r="H464" s="41" t="str">
        <f t="shared" si="7"/>
        <v>26-35</v>
      </c>
    </row>
    <row r="465" spans="1:8" x14ac:dyDescent="0.3">
      <c r="A465" s="41">
        <v>461</v>
      </c>
      <c r="B465" s="41">
        <v>51</v>
      </c>
      <c r="C465" s="41" t="s">
        <v>7</v>
      </c>
      <c r="D465" s="41" t="s">
        <v>11</v>
      </c>
      <c r="E465" s="41" t="s">
        <v>21</v>
      </c>
      <c r="F465" s="41" t="s">
        <v>10</v>
      </c>
      <c r="G465" s="41">
        <v>7639</v>
      </c>
      <c r="H465" s="41" t="str">
        <f t="shared" si="7"/>
        <v>46-60</v>
      </c>
    </row>
    <row r="466" spans="1:8" x14ac:dyDescent="0.3">
      <c r="A466" s="41">
        <v>462</v>
      </c>
      <c r="B466" s="41">
        <v>52</v>
      </c>
      <c r="C466" s="41" t="s">
        <v>7</v>
      </c>
      <c r="D466" s="41" t="s">
        <v>20</v>
      </c>
      <c r="E466" s="41" t="s">
        <v>16</v>
      </c>
      <c r="F466" s="41" t="s">
        <v>18</v>
      </c>
      <c r="G466" s="41">
        <v>4895</v>
      </c>
      <c r="H466" s="41" t="str">
        <f t="shared" si="7"/>
        <v>46-60</v>
      </c>
    </row>
    <row r="467" spans="1:8" x14ac:dyDescent="0.3">
      <c r="A467" s="41">
        <v>463</v>
      </c>
      <c r="B467" s="41">
        <v>38</v>
      </c>
      <c r="C467" s="41" t="s">
        <v>13</v>
      </c>
      <c r="D467" s="41" t="s">
        <v>22</v>
      </c>
      <c r="E467" s="41" t="s">
        <v>9</v>
      </c>
      <c r="F467" s="41" t="s">
        <v>10</v>
      </c>
      <c r="G467" s="41">
        <v>8121</v>
      </c>
      <c r="H467" s="41" t="str">
        <f t="shared" si="7"/>
        <v>36-45</v>
      </c>
    </row>
    <row r="468" spans="1:8" x14ac:dyDescent="0.3">
      <c r="A468" s="41">
        <v>464</v>
      </c>
      <c r="B468" s="41">
        <v>33</v>
      </c>
      <c r="C468" s="41" t="s">
        <v>13</v>
      </c>
      <c r="D468" s="41" t="s">
        <v>20</v>
      </c>
      <c r="E468" s="41" t="s">
        <v>9</v>
      </c>
      <c r="F468" s="41" t="s">
        <v>18</v>
      </c>
      <c r="G468" s="41">
        <v>5052</v>
      </c>
      <c r="H468" s="41" t="str">
        <f t="shared" si="7"/>
        <v>26-35</v>
      </c>
    </row>
    <row r="469" spans="1:8" x14ac:dyDescent="0.3">
      <c r="A469" s="41">
        <v>465</v>
      </c>
      <c r="B469" s="41">
        <v>51</v>
      </c>
      <c r="C469" s="41" t="s">
        <v>13</v>
      </c>
      <c r="D469" s="41" t="s">
        <v>20</v>
      </c>
      <c r="E469" s="41" t="s">
        <v>9</v>
      </c>
      <c r="F469" s="41" t="s">
        <v>12</v>
      </c>
      <c r="G469" s="41">
        <v>6543</v>
      </c>
      <c r="H469" s="41" t="str">
        <f t="shared" si="7"/>
        <v>46-60</v>
      </c>
    </row>
    <row r="470" spans="1:8" x14ac:dyDescent="0.3">
      <c r="A470" s="41">
        <v>466</v>
      </c>
      <c r="B470" s="41">
        <v>52</v>
      </c>
      <c r="C470" s="41" t="s">
        <v>13</v>
      </c>
      <c r="D470" s="41" t="s">
        <v>15</v>
      </c>
      <c r="E470" s="41" t="s">
        <v>21</v>
      </c>
      <c r="F470" s="41" t="s">
        <v>18</v>
      </c>
      <c r="G470" s="41">
        <v>2824</v>
      </c>
      <c r="H470" s="41" t="str">
        <f t="shared" si="7"/>
        <v>46-60</v>
      </c>
    </row>
    <row r="471" spans="1:8" x14ac:dyDescent="0.3">
      <c r="A471" s="41">
        <v>467</v>
      </c>
      <c r="B471" s="41">
        <v>25</v>
      </c>
      <c r="C471" s="41" t="s">
        <v>13</v>
      </c>
      <c r="D471" s="41" t="s">
        <v>8</v>
      </c>
      <c r="E471" s="41" t="s">
        <v>16</v>
      </c>
      <c r="F471" s="41" t="s">
        <v>18</v>
      </c>
      <c r="G471" s="41">
        <v>4518</v>
      </c>
      <c r="H471" s="41" t="str">
        <f t="shared" si="7"/>
        <v>18-25</v>
      </c>
    </row>
    <row r="472" spans="1:8" x14ac:dyDescent="0.3">
      <c r="A472" s="41">
        <v>468</v>
      </c>
      <c r="B472" s="41">
        <v>34</v>
      </c>
      <c r="C472" s="41" t="s">
        <v>13</v>
      </c>
      <c r="D472" s="41" t="s">
        <v>20</v>
      </c>
      <c r="E472" s="41" t="s">
        <v>14</v>
      </c>
      <c r="F472" s="41" t="s">
        <v>12</v>
      </c>
      <c r="G472" s="41">
        <v>908</v>
      </c>
      <c r="H472" s="41" t="str">
        <f t="shared" si="7"/>
        <v>26-35</v>
      </c>
    </row>
    <row r="473" spans="1:8" x14ac:dyDescent="0.3">
      <c r="A473" s="41">
        <v>469</v>
      </c>
      <c r="B473" s="41">
        <v>23</v>
      </c>
      <c r="C473" s="41" t="s">
        <v>7</v>
      </c>
      <c r="D473" s="41" t="s">
        <v>8</v>
      </c>
      <c r="E473" s="41" t="s">
        <v>21</v>
      </c>
      <c r="F473" s="41" t="s">
        <v>18</v>
      </c>
      <c r="G473" s="41">
        <v>6204</v>
      </c>
      <c r="H473" s="41" t="str">
        <f t="shared" si="7"/>
        <v>18-25</v>
      </c>
    </row>
    <row r="474" spans="1:8" x14ac:dyDescent="0.3">
      <c r="A474" s="41">
        <v>470</v>
      </c>
      <c r="B474" s="41">
        <v>38</v>
      </c>
      <c r="C474" s="41" t="s">
        <v>13</v>
      </c>
      <c r="D474" s="41" t="s">
        <v>20</v>
      </c>
      <c r="E474" s="41" t="s">
        <v>21</v>
      </c>
      <c r="F474" s="41" t="s">
        <v>18</v>
      </c>
      <c r="G474" s="41">
        <v>4300</v>
      </c>
      <c r="H474" s="41" t="str">
        <f t="shared" si="7"/>
        <v>36-45</v>
      </c>
    </row>
    <row r="475" spans="1:8" x14ac:dyDescent="0.3">
      <c r="A475" s="41">
        <v>471</v>
      </c>
      <c r="B475" s="41">
        <v>23</v>
      </c>
      <c r="C475" s="41" t="s">
        <v>13</v>
      </c>
      <c r="D475" s="41" t="s">
        <v>22</v>
      </c>
      <c r="E475" s="41" t="s">
        <v>14</v>
      </c>
      <c r="F475" s="41" t="s">
        <v>24</v>
      </c>
      <c r="G475" s="41">
        <v>13125</v>
      </c>
      <c r="H475" s="41" t="str">
        <f t="shared" si="7"/>
        <v>18-25</v>
      </c>
    </row>
    <row r="476" spans="1:8" x14ac:dyDescent="0.3">
      <c r="A476" s="41">
        <v>472</v>
      </c>
      <c r="B476" s="41">
        <v>44</v>
      </c>
      <c r="C476" s="41" t="s">
        <v>13</v>
      </c>
      <c r="D476" s="41" t="s">
        <v>22</v>
      </c>
      <c r="E476" s="41" t="s">
        <v>21</v>
      </c>
      <c r="F476" s="41" t="s">
        <v>19</v>
      </c>
      <c r="G476" s="41">
        <v>21970</v>
      </c>
      <c r="H476" s="41" t="str">
        <f t="shared" si="7"/>
        <v>36-45</v>
      </c>
    </row>
    <row r="477" spans="1:8" x14ac:dyDescent="0.3">
      <c r="A477" s="41">
        <v>473</v>
      </c>
      <c r="B477" s="41">
        <v>37</v>
      </c>
      <c r="C477" s="41" t="s">
        <v>13</v>
      </c>
      <c r="D477" s="41" t="s">
        <v>20</v>
      </c>
      <c r="E477" s="41" t="s">
        <v>9</v>
      </c>
      <c r="F477" s="41" t="s">
        <v>12</v>
      </c>
      <c r="G477" s="41">
        <v>6881</v>
      </c>
      <c r="H477" s="41" t="str">
        <f t="shared" si="7"/>
        <v>36-45</v>
      </c>
    </row>
    <row r="478" spans="1:8" x14ac:dyDescent="0.3">
      <c r="A478" s="41">
        <v>474</v>
      </c>
      <c r="B478" s="41">
        <v>52</v>
      </c>
      <c r="C478" s="41" t="s">
        <v>13</v>
      </c>
      <c r="D478" s="41" t="s">
        <v>20</v>
      </c>
      <c r="E478" s="41" t="s">
        <v>9</v>
      </c>
      <c r="F478" s="41" t="s">
        <v>12</v>
      </c>
      <c r="G478" s="41">
        <v>5848</v>
      </c>
      <c r="H478" s="41" t="str">
        <f t="shared" si="7"/>
        <v>46-60</v>
      </c>
    </row>
    <row r="479" spans="1:8" x14ac:dyDescent="0.3">
      <c r="A479" s="41">
        <v>475</v>
      </c>
      <c r="B479" s="41">
        <v>51</v>
      </c>
      <c r="C479" s="41" t="s">
        <v>13</v>
      </c>
      <c r="D479" s="41" t="s">
        <v>20</v>
      </c>
      <c r="E479" s="41" t="s">
        <v>21</v>
      </c>
      <c r="F479" s="41" t="s">
        <v>10</v>
      </c>
      <c r="G479" s="41">
        <v>5562</v>
      </c>
      <c r="H479" s="41" t="str">
        <f t="shared" si="7"/>
        <v>46-60</v>
      </c>
    </row>
    <row r="480" spans="1:8" x14ac:dyDescent="0.3">
      <c r="A480" s="41">
        <v>476</v>
      </c>
      <c r="B480" s="41">
        <v>37</v>
      </c>
      <c r="C480" s="41" t="s">
        <v>13</v>
      </c>
      <c r="D480" s="41" t="s">
        <v>20</v>
      </c>
      <c r="E480" s="41" t="s">
        <v>9</v>
      </c>
      <c r="F480" s="41" t="s">
        <v>10</v>
      </c>
      <c r="G480" s="41">
        <v>8081</v>
      </c>
      <c r="H480" s="41" t="str">
        <f t="shared" si="7"/>
        <v>36-45</v>
      </c>
    </row>
    <row r="481" spans="1:8" x14ac:dyDescent="0.3">
      <c r="A481" s="41">
        <v>477</v>
      </c>
      <c r="B481" s="41">
        <v>25</v>
      </c>
      <c r="C481" s="41" t="s">
        <v>13</v>
      </c>
      <c r="D481" s="41" t="s">
        <v>20</v>
      </c>
      <c r="E481" s="41" t="s">
        <v>14</v>
      </c>
      <c r="F481" s="41" t="s">
        <v>17</v>
      </c>
      <c r="G481" s="41">
        <v>11884</v>
      </c>
      <c r="H481" s="41" t="str">
        <f t="shared" si="7"/>
        <v>18-25</v>
      </c>
    </row>
    <row r="482" spans="1:8" x14ac:dyDescent="0.3">
      <c r="A482" s="41">
        <v>478</v>
      </c>
      <c r="B482" s="41">
        <v>18</v>
      </c>
      <c r="C482" s="41" t="s">
        <v>7</v>
      </c>
      <c r="D482" s="41" t="s">
        <v>8</v>
      </c>
      <c r="E482" s="41" t="s">
        <v>9</v>
      </c>
      <c r="F482" s="41" t="s">
        <v>10</v>
      </c>
      <c r="G482" s="41">
        <v>4261</v>
      </c>
      <c r="H482" s="41" t="str">
        <f t="shared" si="7"/>
        <v>18-25</v>
      </c>
    </row>
    <row r="483" spans="1:8" x14ac:dyDescent="0.3">
      <c r="A483" s="41">
        <v>479</v>
      </c>
      <c r="B483" s="41">
        <v>46</v>
      </c>
      <c r="C483" s="41" t="s">
        <v>13</v>
      </c>
      <c r="D483" s="41" t="s">
        <v>20</v>
      </c>
      <c r="E483" s="41" t="s">
        <v>14</v>
      </c>
      <c r="F483" s="41" t="s">
        <v>12</v>
      </c>
      <c r="G483" s="41">
        <v>6284</v>
      </c>
      <c r="H483" s="41" t="str">
        <f t="shared" si="7"/>
        <v>46-60</v>
      </c>
    </row>
    <row r="484" spans="1:8" x14ac:dyDescent="0.3">
      <c r="A484" s="41">
        <v>480</v>
      </c>
      <c r="B484" s="41">
        <v>46</v>
      </c>
      <c r="C484" s="41" t="s">
        <v>13</v>
      </c>
      <c r="D484" s="41" t="s">
        <v>22</v>
      </c>
      <c r="E484" s="41" t="s">
        <v>16</v>
      </c>
      <c r="F484" s="41" t="s">
        <v>18</v>
      </c>
      <c r="G484" s="41">
        <v>6813</v>
      </c>
      <c r="H484" s="41" t="str">
        <f t="shared" si="7"/>
        <v>46-60</v>
      </c>
    </row>
    <row r="485" spans="1:8" x14ac:dyDescent="0.3">
      <c r="A485" s="41">
        <v>481</v>
      </c>
      <c r="B485" s="41">
        <v>21</v>
      </c>
      <c r="C485" s="41" t="s">
        <v>13</v>
      </c>
      <c r="D485" s="41" t="s">
        <v>8</v>
      </c>
      <c r="E485" s="41" t="s">
        <v>14</v>
      </c>
      <c r="F485" s="41" t="s">
        <v>23</v>
      </c>
      <c r="G485" s="41">
        <v>6731</v>
      </c>
      <c r="H485" s="41" t="str">
        <f t="shared" si="7"/>
        <v>18-25</v>
      </c>
    </row>
    <row r="486" spans="1:8" x14ac:dyDescent="0.3">
      <c r="A486" s="41">
        <v>482</v>
      </c>
      <c r="B486" s="41">
        <v>22</v>
      </c>
      <c r="C486" s="41" t="s">
        <v>13</v>
      </c>
      <c r="D486" s="41" t="s">
        <v>8</v>
      </c>
      <c r="E486" s="41" t="s">
        <v>16</v>
      </c>
      <c r="F486" s="41" t="s">
        <v>10</v>
      </c>
      <c r="G486" s="41">
        <v>1699</v>
      </c>
      <c r="H486" s="41" t="str">
        <f t="shared" si="7"/>
        <v>18-25</v>
      </c>
    </row>
    <row r="487" spans="1:8" x14ac:dyDescent="0.3">
      <c r="A487" s="41">
        <v>483</v>
      </c>
      <c r="B487" s="41">
        <v>56</v>
      </c>
      <c r="C487" s="41" t="s">
        <v>7</v>
      </c>
      <c r="D487" s="41" t="s">
        <v>15</v>
      </c>
      <c r="E487" s="41" t="s">
        <v>16</v>
      </c>
      <c r="F487" s="41" t="s">
        <v>12</v>
      </c>
      <c r="G487" s="41">
        <v>5379</v>
      </c>
      <c r="H487" s="41" t="str">
        <f t="shared" si="7"/>
        <v>46-60</v>
      </c>
    </row>
    <row r="488" spans="1:8" x14ac:dyDescent="0.3">
      <c r="A488" s="41">
        <v>484</v>
      </c>
      <c r="B488" s="41">
        <v>23</v>
      </c>
      <c r="C488" s="41" t="s">
        <v>13</v>
      </c>
      <c r="D488" s="41" t="s">
        <v>8</v>
      </c>
      <c r="E488" s="41" t="s">
        <v>16</v>
      </c>
      <c r="F488" s="41" t="s">
        <v>19</v>
      </c>
      <c r="G488" s="41">
        <v>16747</v>
      </c>
      <c r="H488" s="41" t="str">
        <f t="shared" si="7"/>
        <v>18-25</v>
      </c>
    </row>
    <row r="489" spans="1:8" x14ac:dyDescent="0.3">
      <c r="A489" s="41">
        <v>485</v>
      </c>
      <c r="B489" s="41">
        <v>25</v>
      </c>
      <c r="C489" s="41" t="s">
        <v>7</v>
      </c>
      <c r="D489" s="41" t="s">
        <v>8</v>
      </c>
      <c r="E489" s="41" t="s">
        <v>16</v>
      </c>
      <c r="F489" s="41" t="s">
        <v>10</v>
      </c>
      <c r="G489" s="41">
        <v>2354</v>
      </c>
      <c r="H489" s="41" t="str">
        <f t="shared" si="7"/>
        <v>18-25</v>
      </c>
    </row>
    <row r="490" spans="1:8" x14ac:dyDescent="0.3">
      <c r="A490" s="41">
        <v>486</v>
      </c>
      <c r="B490" s="41">
        <v>40</v>
      </c>
      <c r="C490" s="41" t="s">
        <v>13</v>
      </c>
      <c r="D490" s="41" t="s">
        <v>20</v>
      </c>
      <c r="E490" s="41" t="s">
        <v>14</v>
      </c>
      <c r="F490" s="41" t="s">
        <v>17</v>
      </c>
      <c r="G490" s="41">
        <v>5796</v>
      </c>
      <c r="H490" s="41" t="str">
        <f t="shared" si="7"/>
        <v>36-45</v>
      </c>
    </row>
    <row r="491" spans="1:8" x14ac:dyDescent="0.3">
      <c r="A491" s="41">
        <v>487</v>
      </c>
      <c r="B491" s="41">
        <v>19</v>
      </c>
      <c r="C491" s="41" t="s">
        <v>13</v>
      </c>
      <c r="D491" s="41" t="s">
        <v>8</v>
      </c>
      <c r="E491" s="41" t="s">
        <v>14</v>
      </c>
      <c r="F491" s="41" t="s">
        <v>18</v>
      </c>
      <c r="G491" s="41">
        <v>4044</v>
      </c>
      <c r="H491" s="41" t="str">
        <f t="shared" si="7"/>
        <v>18-25</v>
      </c>
    </row>
    <row r="492" spans="1:8" x14ac:dyDescent="0.3">
      <c r="A492" s="41">
        <v>488</v>
      </c>
      <c r="B492" s="41">
        <v>31</v>
      </c>
      <c r="C492" s="41" t="s">
        <v>13</v>
      </c>
      <c r="D492" s="41" t="s">
        <v>11</v>
      </c>
      <c r="E492" s="41" t="s">
        <v>14</v>
      </c>
      <c r="F492" s="41" t="s">
        <v>12</v>
      </c>
      <c r="G492" s="41">
        <v>907</v>
      </c>
      <c r="H492" s="41" t="str">
        <f t="shared" si="7"/>
        <v>26-35</v>
      </c>
    </row>
    <row r="493" spans="1:8" x14ac:dyDescent="0.3">
      <c r="A493" s="41">
        <v>489</v>
      </c>
      <c r="B493" s="41">
        <v>18</v>
      </c>
      <c r="C493" s="41" t="s">
        <v>7</v>
      </c>
      <c r="D493" s="41" t="s">
        <v>8</v>
      </c>
      <c r="E493" s="41" t="s">
        <v>14</v>
      </c>
      <c r="F493" s="41" t="s">
        <v>19</v>
      </c>
      <c r="G493" s="41">
        <v>24745</v>
      </c>
      <c r="H493" s="41" t="str">
        <f t="shared" si="7"/>
        <v>18-25</v>
      </c>
    </row>
    <row r="494" spans="1:8" x14ac:dyDescent="0.3">
      <c r="A494" s="41">
        <v>490</v>
      </c>
      <c r="B494" s="41">
        <v>25</v>
      </c>
      <c r="C494" s="41" t="s">
        <v>7</v>
      </c>
      <c r="D494" s="41" t="s">
        <v>8</v>
      </c>
      <c r="E494" s="41" t="s">
        <v>14</v>
      </c>
      <c r="F494" s="41" t="s">
        <v>10</v>
      </c>
      <c r="G494" s="41">
        <v>4403</v>
      </c>
      <c r="H494" s="41" t="str">
        <f t="shared" si="7"/>
        <v>18-25</v>
      </c>
    </row>
    <row r="495" spans="1:8" x14ac:dyDescent="0.3">
      <c r="A495" s="41">
        <v>491</v>
      </c>
      <c r="B495" s="41">
        <v>23</v>
      </c>
      <c r="C495" s="41" t="s">
        <v>7</v>
      </c>
      <c r="D495" s="41" t="s">
        <v>20</v>
      </c>
      <c r="E495" s="41" t="s">
        <v>9</v>
      </c>
      <c r="F495" s="41" t="s">
        <v>17</v>
      </c>
      <c r="G495" s="41">
        <v>11045</v>
      </c>
      <c r="H495" s="41" t="str">
        <f t="shared" si="7"/>
        <v>18-25</v>
      </c>
    </row>
    <row r="496" spans="1:8" x14ac:dyDescent="0.3">
      <c r="A496" s="41">
        <v>492</v>
      </c>
      <c r="B496" s="41">
        <v>60</v>
      </c>
      <c r="C496" s="41" t="s">
        <v>13</v>
      </c>
      <c r="D496" s="41" t="s">
        <v>15</v>
      </c>
      <c r="E496" s="41" t="s">
        <v>21</v>
      </c>
      <c r="F496" s="41" t="s">
        <v>12</v>
      </c>
      <c r="G496" s="41">
        <v>1817</v>
      </c>
      <c r="H496" s="41" t="str">
        <f t="shared" si="7"/>
        <v>46-60</v>
      </c>
    </row>
    <row r="497" spans="1:8" x14ac:dyDescent="0.3">
      <c r="A497" s="41">
        <v>493</v>
      </c>
      <c r="B497" s="41">
        <v>44</v>
      </c>
      <c r="C497" s="41" t="s">
        <v>7</v>
      </c>
      <c r="D497" s="41" t="s">
        <v>22</v>
      </c>
      <c r="E497" s="41" t="s">
        <v>16</v>
      </c>
      <c r="F497" s="41" t="s">
        <v>10</v>
      </c>
      <c r="G497" s="41">
        <v>3781</v>
      </c>
      <c r="H497" s="41" t="str">
        <f t="shared" si="7"/>
        <v>36-45</v>
      </c>
    </row>
    <row r="498" spans="1:8" x14ac:dyDescent="0.3">
      <c r="A498" s="41">
        <v>494</v>
      </c>
      <c r="B498" s="41">
        <v>49</v>
      </c>
      <c r="C498" s="41" t="s">
        <v>7</v>
      </c>
      <c r="D498" s="41" t="s">
        <v>20</v>
      </c>
      <c r="E498" s="41" t="s">
        <v>14</v>
      </c>
      <c r="F498" s="41" t="s">
        <v>12</v>
      </c>
      <c r="G498" s="41">
        <v>2305</v>
      </c>
      <c r="H498" s="41" t="str">
        <f t="shared" si="7"/>
        <v>46-60</v>
      </c>
    </row>
    <row r="499" spans="1:8" x14ac:dyDescent="0.3">
      <c r="A499" s="41">
        <v>495</v>
      </c>
      <c r="B499" s="41">
        <v>35</v>
      </c>
      <c r="C499" s="41" t="s">
        <v>7</v>
      </c>
      <c r="D499" s="41" t="s">
        <v>11</v>
      </c>
      <c r="E499" s="41" t="s">
        <v>16</v>
      </c>
      <c r="F499" s="41" t="s">
        <v>10</v>
      </c>
      <c r="G499" s="41">
        <v>3448</v>
      </c>
      <c r="H499" s="41" t="str">
        <f t="shared" si="7"/>
        <v>26-35</v>
      </c>
    </row>
    <row r="500" spans="1:8" x14ac:dyDescent="0.3">
      <c r="A500" s="41">
        <v>496</v>
      </c>
      <c r="B500" s="41">
        <v>40</v>
      </c>
      <c r="C500" s="41" t="s">
        <v>7</v>
      </c>
      <c r="D500" s="41" t="s">
        <v>15</v>
      </c>
      <c r="E500" s="41" t="s">
        <v>14</v>
      </c>
      <c r="F500" s="41" t="s">
        <v>24</v>
      </c>
      <c r="G500" s="41">
        <v>5771</v>
      </c>
      <c r="H500" s="41" t="str">
        <f t="shared" si="7"/>
        <v>36-45</v>
      </c>
    </row>
    <row r="501" spans="1:8" x14ac:dyDescent="0.3">
      <c r="A501" s="41">
        <v>497</v>
      </c>
      <c r="B501" s="41">
        <v>38</v>
      </c>
      <c r="C501" s="41" t="s">
        <v>7</v>
      </c>
      <c r="D501" s="41" t="s">
        <v>20</v>
      </c>
      <c r="E501" s="41" t="s">
        <v>21</v>
      </c>
      <c r="F501" s="41" t="s">
        <v>18</v>
      </c>
      <c r="G501" s="41">
        <v>5962</v>
      </c>
      <c r="H501" s="41" t="str">
        <f t="shared" si="7"/>
        <v>36-45</v>
      </c>
    </row>
    <row r="502" spans="1:8" x14ac:dyDescent="0.3">
      <c r="A502" s="41">
        <v>498</v>
      </c>
      <c r="B502" s="41">
        <v>25</v>
      </c>
      <c r="C502" s="41" t="s">
        <v>13</v>
      </c>
      <c r="D502" s="41" t="s">
        <v>8</v>
      </c>
      <c r="E502" s="41" t="s">
        <v>9</v>
      </c>
      <c r="F502" s="41" t="s">
        <v>19</v>
      </c>
      <c r="G502" s="41">
        <v>19586</v>
      </c>
      <c r="H502" s="41" t="str">
        <f t="shared" si="7"/>
        <v>18-25</v>
      </c>
    </row>
    <row r="503" spans="1:8" x14ac:dyDescent="0.3">
      <c r="A503" s="41">
        <v>499</v>
      </c>
      <c r="B503" s="41">
        <v>39</v>
      </c>
      <c r="C503" s="41" t="s">
        <v>7</v>
      </c>
      <c r="D503" s="41" t="s">
        <v>20</v>
      </c>
      <c r="E503" s="41" t="s">
        <v>14</v>
      </c>
      <c r="F503" s="41" t="s">
        <v>10</v>
      </c>
      <c r="G503" s="41">
        <v>7603</v>
      </c>
      <c r="H503" s="41" t="str">
        <f>IF(B503&lt;=25,"18-25",IF(B503&lt;=35,"26-35",IF(B503&lt;=45,"36-45","46-60")))</f>
        <v>36-45</v>
      </c>
    </row>
    <row r="504" spans="1:8" x14ac:dyDescent="0.3">
      <c r="A504" s="41">
        <v>500</v>
      </c>
      <c r="B504" s="41">
        <v>41</v>
      </c>
      <c r="C504" s="41" t="s">
        <v>7</v>
      </c>
      <c r="D504" s="41" t="s">
        <v>20</v>
      </c>
      <c r="E504" s="41" t="s">
        <v>16</v>
      </c>
      <c r="F504" s="41" t="s">
        <v>17</v>
      </c>
      <c r="G504" s="41">
        <v>9045</v>
      </c>
      <c r="H504" s="41" t="str">
        <f t="shared" si="7"/>
        <v>36-45</v>
      </c>
    </row>
  </sheetData>
  <mergeCells count="1">
    <mergeCell ref="A1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3746-3B20-4312-A47F-8DA0B18655A0}">
  <dimension ref="A1:AF84"/>
  <sheetViews>
    <sheetView showGridLines="0" workbookViewId="0">
      <selection activeCell="X14" sqref="X14"/>
    </sheetView>
  </sheetViews>
  <sheetFormatPr defaultRowHeight="14.4" x14ac:dyDescent="0.3"/>
  <cols>
    <col min="1" max="1" width="8.88671875" style="35"/>
    <col min="2" max="2" width="12.6640625" style="35" bestFit="1" customWidth="1"/>
    <col min="3" max="3" width="14.44140625" style="35" bestFit="1" customWidth="1"/>
    <col min="4" max="6" width="8.88671875" style="35"/>
    <col min="7" max="7" width="12.5546875" style="35" bestFit="1" customWidth="1"/>
    <col min="8" max="9" width="14.44140625" style="35" bestFit="1" customWidth="1"/>
    <col min="10" max="10" width="10.6640625" style="35" bestFit="1" customWidth="1"/>
    <col min="11" max="11" width="14.44140625" style="35" bestFit="1" customWidth="1"/>
    <col min="12" max="12" width="15.5546875" style="35" bestFit="1" customWidth="1"/>
    <col min="13" max="13" width="13.21875" style="35" bestFit="1" customWidth="1"/>
    <col min="14" max="14" width="7" style="35" bestFit="1" customWidth="1"/>
    <col min="15" max="15" width="10" style="35" bestFit="1" customWidth="1"/>
    <col min="16" max="16" width="9" style="35" bestFit="1" customWidth="1"/>
    <col min="17" max="17" width="7" style="35" bestFit="1" customWidth="1"/>
    <col min="18" max="18" width="7.21875" style="35" bestFit="1" customWidth="1"/>
    <col min="19" max="19" width="10.77734375" style="35" bestFit="1" customWidth="1"/>
    <col min="20" max="20" width="18" style="35" bestFit="1" customWidth="1"/>
    <col min="21" max="21" width="17.5546875" style="35" customWidth="1"/>
    <col min="22" max="23" width="7.21875" style="35" bestFit="1" customWidth="1"/>
    <col min="24" max="24" width="16" style="35" customWidth="1"/>
    <col min="25" max="25" width="17.21875" style="35" customWidth="1"/>
    <col min="26" max="29" width="12" style="35" bestFit="1" customWidth="1"/>
    <col min="30" max="30" width="14.77734375" style="35" bestFit="1" customWidth="1"/>
    <col min="31" max="34" width="11" style="35" bestFit="1" customWidth="1"/>
    <col min="35" max="35" width="13.77734375" style="35" bestFit="1" customWidth="1"/>
    <col min="36" max="39" width="8.109375" style="35" bestFit="1" customWidth="1"/>
    <col min="40" max="40" width="10.77734375" style="35" bestFit="1" customWidth="1"/>
    <col min="41" max="44" width="9.21875" style="35" bestFit="1" customWidth="1"/>
    <col min="45" max="45" width="11.88671875" style="35" bestFit="1" customWidth="1"/>
    <col min="46" max="46" width="10.77734375" style="35" bestFit="1" customWidth="1"/>
    <col min="47" max="16384" width="8.88671875" style="35"/>
  </cols>
  <sheetData>
    <row r="1" spans="1:32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x14ac:dyDescent="0.3">
      <c r="A3" s="34"/>
      <c r="B3" s="36" t="s">
        <v>25</v>
      </c>
      <c r="C3" s="42" t="s">
        <v>26</v>
      </c>
      <c r="D3" s="42"/>
      <c r="E3" s="42"/>
      <c r="F3" s="34"/>
      <c r="G3" s="36"/>
      <c r="H3" s="36" t="s">
        <v>31</v>
      </c>
      <c r="I3" s="36"/>
      <c r="L3" s="37" t="s">
        <v>55</v>
      </c>
      <c r="M3" s="37"/>
      <c r="N3" s="37"/>
      <c r="O3" s="37"/>
      <c r="P3" s="37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x14ac:dyDescent="0.3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28.8" x14ac:dyDescent="0.3">
      <c r="A5" s="34"/>
      <c r="B5" s="38" t="s">
        <v>27</v>
      </c>
      <c r="C5" s="38" t="s">
        <v>29</v>
      </c>
      <c r="D5" s="34"/>
      <c r="E5" s="34"/>
      <c r="F5" s="34"/>
      <c r="G5" s="4" t="s">
        <v>27</v>
      </c>
      <c r="H5" s="4" t="s">
        <v>29</v>
      </c>
      <c r="I5" s="34"/>
      <c r="K5" s="39" t="s">
        <v>29</v>
      </c>
      <c r="L5" s="39" t="s">
        <v>56</v>
      </c>
      <c r="M5" s="39"/>
      <c r="N5" s="39"/>
      <c r="O5" s="39"/>
      <c r="P5" s="39"/>
      <c r="Q5" s="39"/>
      <c r="R5" s="39"/>
      <c r="S5" s="39"/>
      <c r="T5" s="34"/>
      <c r="U5" s="4" t="s">
        <v>44</v>
      </c>
      <c r="V5" s="5" t="s">
        <v>45</v>
      </c>
      <c r="W5" s="34"/>
      <c r="X5" s="6" t="s">
        <v>27</v>
      </c>
      <c r="Y5" s="6" t="s">
        <v>27</v>
      </c>
      <c r="Z5" s="34"/>
      <c r="AA5" s="34"/>
      <c r="AB5" s="34"/>
      <c r="AC5" s="34"/>
      <c r="AD5" s="34"/>
      <c r="AE5" s="34"/>
      <c r="AF5" s="34"/>
    </row>
    <row r="6" spans="1:32" x14ac:dyDescent="0.3">
      <c r="A6" s="34"/>
      <c r="B6" s="40" t="s">
        <v>19</v>
      </c>
      <c r="C6" s="40">
        <v>916580</v>
      </c>
      <c r="D6" s="34"/>
      <c r="E6" s="34"/>
      <c r="F6" s="34"/>
      <c r="G6" s="40" t="s">
        <v>16</v>
      </c>
      <c r="H6" s="40">
        <v>931843</v>
      </c>
      <c r="I6" s="34"/>
      <c r="K6" s="39" t="s">
        <v>27</v>
      </c>
      <c r="L6" s="39" t="s">
        <v>19</v>
      </c>
      <c r="M6" s="39" t="s">
        <v>18</v>
      </c>
      <c r="N6" s="39" t="s">
        <v>10</v>
      </c>
      <c r="O6" s="39" t="s">
        <v>23</v>
      </c>
      <c r="P6" s="39" t="s">
        <v>24</v>
      </c>
      <c r="Q6" s="39" t="s">
        <v>17</v>
      </c>
      <c r="R6" s="39" t="s">
        <v>12</v>
      </c>
      <c r="S6" s="39" t="s">
        <v>28</v>
      </c>
      <c r="T6" s="34"/>
      <c r="U6" s="33" t="s">
        <v>19</v>
      </c>
      <c r="V6" s="33">
        <v>916580</v>
      </c>
      <c r="W6" s="34"/>
      <c r="X6" s="33" t="s">
        <v>15</v>
      </c>
      <c r="Y6" s="33" t="s">
        <v>15</v>
      </c>
      <c r="Z6" s="34"/>
      <c r="AA6" s="34"/>
      <c r="AB6" s="34"/>
      <c r="AC6" s="34"/>
      <c r="AD6" s="34"/>
      <c r="AE6" s="34"/>
      <c r="AF6" s="34"/>
    </row>
    <row r="7" spans="1:32" x14ac:dyDescent="0.3">
      <c r="A7" s="34"/>
      <c r="B7" s="40" t="s">
        <v>18</v>
      </c>
      <c r="C7" s="40">
        <v>234444</v>
      </c>
      <c r="D7" s="34"/>
      <c r="E7" s="34"/>
      <c r="F7" s="34"/>
      <c r="G7" s="40" t="s">
        <v>14</v>
      </c>
      <c r="H7" s="40">
        <v>868561</v>
      </c>
      <c r="I7" s="34"/>
      <c r="K7" s="41" t="s">
        <v>34</v>
      </c>
      <c r="L7" s="41">
        <v>651984</v>
      </c>
      <c r="M7" s="41">
        <v>75317</v>
      </c>
      <c r="N7" s="41">
        <v>219956</v>
      </c>
      <c r="O7" s="41">
        <v>61435</v>
      </c>
      <c r="P7" s="41">
        <v>218830</v>
      </c>
      <c r="Q7" s="41">
        <v>129188</v>
      </c>
      <c r="R7" s="41">
        <v>43478</v>
      </c>
      <c r="S7" s="41">
        <v>1400188</v>
      </c>
      <c r="U7" s="33" t="s">
        <v>18</v>
      </c>
      <c r="V7" s="33">
        <v>234444</v>
      </c>
      <c r="X7" s="33" t="s">
        <v>20</v>
      </c>
      <c r="Y7" s="33" t="s">
        <v>20</v>
      </c>
      <c r="Z7" s="34"/>
      <c r="AA7" s="34"/>
      <c r="AB7" s="34"/>
      <c r="AC7" s="34"/>
      <c r="AD7" s="34"/>
      <c r="AE7" s="34"/>
      <c r="AF7" s="34"/>
    </row>
    <row r="8" spans="1:32" x14ac:dyDescent="0.3">
      <c r="A8" s="34"/>
      <c r="B8" s="40" t="s">
        <v>10</v>
      </c>
      <c r="C8" s="40">
        <v>678410</v>
      </c>
      <c r="D8" s="34"/>
      <c r="E8" s="34"/>
      <c r="F8" s="34"/>
      <c r="G8" s="40" t="s">
        <v>9</v>
      </c>
      <c r="H8" s="40">
        <v>896640</v>
      </c>
      <c r="I8" s="34"/>
      <c r="K8" s="41" t="s">
        <v>35</v>
      </c>
      <c r="L8" s="41">
        <v>125116</v>
      </c>
      <c r="M8" s="41">
        <v>47671</v>
      </c>
      <c r="N8" s="41">
        <v>117259</v>
      </c>
      <c r="O8" s="41">
        <v>65150</v>
      </c>
      <c r="P8" s="41">
        <v>174093</v>
      </c>
      <c r="Q8" s="41">
        <v>130050</v>
      </c>
      <c r="R8" s="41">
        <v>61412</v>
      </c>
      <c r="S8" s="41">
        <v>720751</v>
      </c>
      <c r="U8" s="33" t="s">
        <v>10</v>
      </c>
      <c r="V8" s="33">
        <v>678410</v>
      </c>
      <c r="X8" s="33" t="s">
        <v>22</v>
      </c>
      <c r="Y8" s="33" t="s">
        <v>22</v>
      </c>
      <c r="Z8" s="34"/>
      <c r="AA8" s="34"/>
      <c r="AB8" s="34"/>
      <c r="AC8" s="34"/>
      <c r="AD8" s="34"/>
      <c r="AE8" s="34"/>
      <c r="AF8" s="34"/>
    </row>
    <row r="9" spans="1:32" x14ac:dyDescent="0.3">
      <c r="A9" s="34"/>
      <c r="B9" s="40" t="s">
        <v>23</v>
      </c>
      <c r="C9" s="40">
        <v>252189</v>
      </c>
      <c r="D9" s="34"/>
      <c r="E9" s="34"/>
      <c r="F9" s="34"/>
      <c r="G9" s="40" t="s">
        <v>21</v>
      </c>
      <c r="H9" s="40">
        <v>882632</v>
      </c>
      <c r="I9" s="34"/>
      <c r="K9" s="41" t="s">
        <v>36</v>
      </c>
      <c r="L9" s="41">
        <v>37268</v>
      </c>
      <c r="M9" s="41">
        <v>48838</v>
      </c>
      <c r="N9" s="41">
        <v>154545</v>
      </c>
      <c r="O9" s="41">
        <v>41817</v>
      </c>
      <c r="P9" s="41">
        <v>157078</v>
      </c>
      <c r="Q9" s="41">
        <v>161294</v>
      </c>
      <c r="R9" s="41">
        <v>78898</v>
      </c>
      <c r="S9" s="41">
        <v>679738</v>
      </c>
      <c r="U9" s="33" t="s">
        <v>23</v>
      </c>
      <c r="V9" s="33">
        <v>252189</v>
      </c>
      <c r="X9" s="33" t="s">
        <v>11</v>
      </c>
      <c r="Y9" s="33" t="s">
        <v>11</v>
      </c>
      <c r="Z9" s="34"/>
      <c r="AA9" s="34"/>
      <c r="AB9" s="34"/>
      <c r="AC9" s="34"/>
      <c r="AD9" s="34"/>
      <c r="AE9" s="34"/>
      <c r="AF9" s="34"/>
    </row>
    <row r="10" spans="1:32" x14ac:dyDescent="0.3">
      <c r="A10" s="34"/>
      <c r="B10" s="40" t="s">
        <v>24</v>
      </c>
      <c r="C10" s="40">
        <v>660403</v>
      </c>
      <c r="D10" s="34"/>
      <c r="E10" s="34"/>
      <c r="F10" s="34"/>
      <c r="G10" s="40" t="s">
        <v>28</v>
      </c>
      <c r="H10" s="40">
        <v>3579676</v>
      </c>
      <c r="I10" s="34"/>
      <c r="K10" s="41" t="s">
        <v>37</v>
      </c>
      <c r="L10" s="41">
        <v>102212</v>
      </c>
      <c r="M10" s="41">
        <v>62618</v>
      </c>
      <c r="N10" s="41">
        <v>186650</v>
      </c>
      <c r="O10" s="41">
        <v>83787</v>
      </c>
      <c r="P10" s="41">
        <v>110402</v>
      </c>
      <c r="Q10" s="41">
        <v>121560</v>
      </c>
      <c r="R10" s="41">
        <v>111770</v>
      </c>
      <c r="S10" s="41">
        <v>778999</v>
      </c>
      <c r="U10" s="33" t="s">
        <v>24</v>
      </c>
      <c r="V10" s="33">
        <v>660403</v>
      </c>
      <c r="X10" s="33" t="s">
        <v>8</v>
      </c>
      <c r="Y10" s="33" t="s">
        <v>8</v>
      </c>
      <c r="Z10" s="34"/>
      <c r="AA10" s="34"/>
      <c r="AB10" s="34"/>
      <c r="AC10" s="34"/>
      <c r="AD10" s="34"/>
      <c r="AE10" s="34"/>
      <c r="AF10" s="34"/>
    </row>
    <row r="11" spans="1:32" x14ac:dyDescent="0.3">
      <c r="A11" s="34"/>
      <c r="B11" s="40" t="s">
        <v>17</v>
      </c>
      <c r="C11" s="40">
        <v>542092</v>
      </c>
      <c r="D11" s="34"/>
      <c r="E11" s="34"/>
      <c r="F11" s="34"/>
      <c r="I11" s="34"/>
      <c r="J11" s="34"/>
      <c r="K11" s="41" t="s">
        <v>28</v>
      </c>
      <c r="L11" s="41">
        <v>916580</v>
      </c>
      <c r="M11" s="41">
        <v>234444</v>
      </c>
      <c r="N11" s="41">
        <v>678410</v>
      </c>
      <c r="O11" s="41">
        <v>252189</v>
      </c>
      <c r="P11" s="41">
        <v>660403</v>
      </c>
      <c r="Q11" s="41">
        <v>542092</v>
      </c>
      <c r="R11" s="41">
        <v>295558</v>
      </c>
      <c r="S11" s="41">
        <v>3579676</v>
      </c>
      <c r="U11" s="33" t="s">
        <v>17</v>
      </c>
      <c r="V11" s="33">
        <v>542092</v>
      </c>
      <c r="Z11" s="34"/>
      <c r="AA11" s="34"/>
      <c r="AB11" s="34"/>
      <c r="AC11" s="34"/>
      <c r="AD11" s="34"/>
      <c r="AE11" s="34"/>
      <c r="AF11" s="34"/>
    </row>
    <row r="12" spans="1:32" x14ac:dyDescent="0.3">
      <c r="A12" s="34"/>
      <c r="B12" s="40" t="s">
        <v>12</v>
      </c>
      <c r="C12" s="40">
        <v>295558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U12" s="33" t="s">
        <v>12</v>
      </c>
      <c r="V12" s="33">
        <v>295558</v>
      </c>
      <c r="Z12" s="34"/>
      <c r="AA12" s="34"/>
      <c r="AB12" s="34"/>
      <c r="AC12" s="34"/>
      <c r="AD12" s="34"/>
      <c r="AE12" s="34"/>
      <c r="AF12" s="34"/>
    </row>
    <row r="13" spans="1:32" x14ac:dyDescent="0.3">
      <c r="A13" s="34"/>
      <c r="B13" s="40" t="s">
        <v>28</v>
      </c>
      <c r="C13" s="40">
        <v>3579676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Z13" s="34"/>
      <c r="AA13" s="34"/>
      <c r="AB13" s="34"/>
      <c r="AC13" s="34"/>
      <c r="AD13" s="34"/>
      <c r="AE13" s="34"/>
      <c r="AF13" s="34"/>
    </row>
    <row r="14" spans="1:32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 x14ac:dyDescent="0.3">
      <c r="A15" s="34"/>
      <c r="B15" s="42" t="s">
        <v>30</v>
      </c>
      <c r="C15" s="42"/>
      <c r="D15" s="42"/>
      <c r="E15" s="42"/>
      <c r="F15" s="34"/>
      <c r="G15" s="37" t="s">
        <v>32</v>
      </c>
      <c r="H15" s="37"/>
      <c r="I15" s="37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spans="1:32" ht="43.2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44" t="s">
        <v>27</v>
      </c>
      <c r="V16" s="44"/>
      <c r="W16" s="6" t="s">
        <v>29</v>
      </c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 x14ac:dyDescent="0.3">
      <c r="A17" s="34"/>
      <c r="B17" s="38" t="s">
        <v>27</v>
      </c>
      <c r="C17" s="38" t="s">
        <v>29</v>
      </c>
      <c r="D17" s="34"/>
      <c r="E17" s="34"/>
      <c r="F17" s="34"/>
      <c r="G17" s="43" t="s">
        <v>27</v>
      </c>
      <c r="H17" s="43" t="s">
        <v>29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45" t="s">
        <v>15</v>
      </c>
      <c r="V17" s="45"/>
      <c r="W17" s="33">
        <v>389189</v>
      </c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x14ac:dyDescent="0.3">
      <c r="A18" s="34"/>
      <c r="B18" s="40" t="s">
        <v>15</v>
      </c>
      <c r="C18" s="40">
        <v>389189</v>
      </c>
      <c r="G18" s="40" t="s">
        <v>34</v>
      </c>
      <c r="H18" s="40">
        <v>1400188</v>
      </c>
      <c r="J18" s="34"/>
      <c r="K18" s="32" t="s">
        <v>50</v>
      </c>
      <c r="L18" s="32" t="s">
        <v>51</v>
      </c>
      <c r="M18" s="34"/>
      <c r="N18" s="32" t="s">
        <v>48</v>
      </c>
      <c r="O18" s="32" t="s">
        <v>6</v>
      </c>
      <c r="R18" s="34"/>
      <c r="U18" s="45" t="s">
        <v>20</v>
      </c>
      <c r="V18" s="45"/>
      <c r="W18" s="33">
        <v>1176643</v>
      </c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 x14ac:dyDescent="0.3">
      <c r="A19" s="34"/>
      <c r="B19" s="40" t="s">
        <v>20</v>
      </c>
      <c r="C19" s="40">
        <v>1176643</v>
      </c>
      <c r="G19" s="40" t="s">
        <v>35</v>
      </c>
      <c r="H19" s="40">
        <v>720751</v>
      </c>
      <c r="J19" s="34"/>
      <c r="K19" s="33" t="s">
        <v>34</v>
      </c>
      <c r="L19" s="33">
        <v>1400188</v>
      </c>
      <c r="M19" s="34"/>
      <c r="N19" s="33" t="s">
        <v>16</v>
      </c>
      <c r="O19" s="33">
        <v>931843</v>
      </c>
      <c r="R19" s="34"/>
      <c r="U19" s="45" t="s">
        <v>22</v>
      </c>
      <c r="V19" s="45"/>
      <c r="W19" s="33">
        <v>504545</v>
      </c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x14ac:dyDescent="0.3">
      <c r="A20" s="34"/>
      <c r="B20" s="40" t="s">
        <v>22</v>
      </c>
      <c r="C20" s="40">
        <v>504545</v>
      </c>
      <c r="G20" s="40" t="s">
        <v>36</v>
      </c>
      <c r="H20" s="40">
        <v>679738</v>
      </c>
      <c r="J20" s="34"/>
      <c r="K20" s="33" t="s">
        <v>35</v>
      </c>
      <c r="L20" s="33">
        <v>720751</v>
      </c>
      <c r="M20" s="34"/>
      <c r="N20" s="33" t="s">
        <v>14</v>
      </c>
      <c r="O20" s="33">
        <v>868561</v>
      </c>
      <c r="U20" s="45" t="s">
        <v>11</v>
      </c>
      <c r="V20" s="45"/>
      <c r="W20" s="33">
        <v>347155</v>
      </c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x14ac:dyDescent="0.3">
      <c r="A21" s="34"/>
      <c r="B21" s="40" t="s">
        <v>11</v>
      </c>
      <c r="C21" s="40">
        <v>347155</v>
      </c>
      <c r="G21" s="40" t="s">
        <v>37</v>
      </c>
      <c r="H21" s="40">
        <v>778999</v>
      </c>
      <c r="J21" s="34"/>
      <c r="K21" s="33" t="s">
        <v>36</v>
      </c>
      <c r="L21" s="33">
        <v>679738</v>
      </c>
      <c r="M21" s="34"/>
      <c r="N21" s="33" t="s">
        <v>9</v>
      </c>
      <c r="O21" s="33">
        <v>896640</v>
      </c>
      <c r="U21" s="45" t="s">
        <v>8</v>
      </c>
      <c r="V21" s="45"/>
      <c r="W21" s="33">
        <v>1162144</v>
      </c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 x14ac:dyDescent="0.3">
      <c r="A22" s="34"/>
      <c r="B22" s="40" t="s">
        <v>8</v>
      </c>
      <c r="C22" s="40">
        <v>1162144</v>
      </c>
      <c r="G22" s="40" t="s">
        <v>28</v>
      </c>
      <c r="H22" s="40">
        <v>3579676</v>
      </c>
      <c r="J22" s="34"/>
      <c r="K22" s="33" t="s">
        <v>37</v>
      </c>
      <c r="L22" s="33">
        <v>778999</v>
      </c>
      <c r="M22" s="34"/>
      <c r="N22" s="33" t="s">
        <v>21</v>
      </c>
      <c r="O22" s="33">
        <v>882632</v>
      </c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x14ac:dyDescent="0.3">
      <c r="A23" s="34"/>
      <c r="B23" s="40" t="s">
        <v>28</v>
      </c>
      <c r="C23" s="40">
        <v>3579676</v>
      </c>
      <c r="G23" s="34"/>
      <c r="H23" s="34"/>
      <c r="I23" s="34"/>
      <c r="J23" s="34"/>
      <c r="K23" s="34"/>
      <c r="L23" s="34"/>
      <c r="M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x14ac:dyDescent="0.3">
      <c r="A24" s="34"/>
      <c r="G24" s="34"/>
      <c r="H24" s="34"/>
      <c r="I24" s="34"/>
      <c r="J24" s="34"/>
      <c r="K24" s="34"/>
      <c r="L24" s="34"/>
      <c r="M24" s="34"/>
      <c r="N24" s="34"/>
      <c r="Q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 x14ac:dyDescent="0.3">
      <c r="A25" s="34"/>
      <c r="G25" s="34"/>
      <c r="H25" s="34"/>
      <c r="I25" s="34"/>
      <c r="J25" s="34"/>
      <c r="K25" s="34"/>
      <c r="L25" s="34"/>
      <c r="M25" s="34"/>
      <c r="N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x14ac:dyDescent="0.3">
      <c r="A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x14ac:dyDescent="0.3">
      <c r="A27" s="34"/>
      <c r="B27" s="34"/>
      <c r="C27" s="34"/>
      <c r="D27" s="34"/>
      <c r="E27" s="34"/>
      <c r="F27" s="34"/>
      <c r="G27" s="34"/>
      <c r="J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x14ac:dyDescent="0.3">
      <c r="A28" s="34"/>
      <c r="B28" s="34"/>
      <c r="C28" s="34"/>
      <c r="D28" s="34"/>
      <c r="E28" s="34"/>
      <c r="F28" s="34"/>
      <c r="G28" s="34"/>
      <c r="J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x14ac:dyDescent="0.3">
      <c r="A29" s="34"/>
      <c r="B29" s="34"/>
      <c r="C29" s="34"/>
      <c r="D29" s="34"/>
      <c r="E29" s="34"/>
      <c r="F29" s="34"/>
      <c r="G29" s="34"/>
      <c r="J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x14ac:dyDescent="0.3">
      <c r="A30" s="34"/>
      <c r="B30" s="34"/>
      <c r="C30" s="34"/>
      <c r="D30" s="34"/>
      <c r="E30" s="34"/>
      <c r="F30" s="34"/>
      <c r="G30" s="34"/>
      <c r="J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 x14ac:dyDescent="0.3">
      <c r="A31" s="34"/>
      <c r="B31" s="34"/>
      <c r="C31" s="34"/>
      <c r="D31" s="34"/>
      <c r="E31" s="34"/>
      <c r="F31" s="34"/>
      <c r="G31" s="34"/>
      <c r="J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x14ac:dyDescent="0.3">
      <c r="A32" s="34"/>
      <c r="B32" s="34"/>
      <c r="C32" s="34"/>
      <c r="D32" s="34"/>
      <c r="E32" s="34"/>
      <c r="F32" s="34"/>
      <c r="G32" s="34"/>
      <c r="J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x14ac:dyDescent="0.3">
      <c r="A33" s="34"/>
      <c r="B33" s="34"/>
      <c r="C33" s="34"/>
      <c r="D33" s="34"/>
      <c r="E33" s="34"/>
      <c r="F33" s="34"/>
      <c r="G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x14ac:dyDescent="0.3">
      <c r="A34" s="34"/>
      <c r="B34" s="34"/>
      <c r="C34" s="34"/>
      <c r="D34" s="34"/>
      <c r="E34" s="34"/>
      <c r="F34" s="34"/>
      <c r="G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1:32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1:32" x14ac:dyDescent="0.3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x14ac:dyDescent="0.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2" x14ac:dyDescent="0.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 x14ac:dyDescent="0.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 x14ac:dyDescent="0.3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 x14ac:dyDescent="0.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x14ac:dyDescent="0.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2" x14ac:dyDescent="0.3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 x14ac:dyDescent="0.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 x14ac:dyDescent="0.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 x14ac:dyDescent="0.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 x14ac:dyDescent="0.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2" x14ac:dyDescent="0.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spans="1:32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spans="1:32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x14ac:dyDescent="0.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</row>
    <row r="65" spans="1:32" x14ac:dyDescent="0.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</row>
    <row r="66" spans="1:32" x14ac:dyDescent="0.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</row>
    <row r="67" spans="1:32" x14ac:dyDescent="0.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</row>
    <row r="68" spans="1:32" x14ac:dyDescent="0.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</row>
    <row r="69" spans="1:32" x14ac:dyDescent="0.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</row>
    <row r="70" spans="1:32" x14ac:dyDescent="0.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</row>
    <row r="71" spans="1:32" x14ac:dyDescent="0.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</row>
    <row r="72" spans="1:32" x14ac:dyDescent="0.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</row>
    <row r="73" spans="1:32" x14ac:dyDescent="0.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</row>
    <row r="74" spans="1:32" x14ac:dyDescent="0.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</row>
    <row r="75" spans="1:32" x14ac:dyDescent="0.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</row>
    <row r="76" spans="1:32" x14ac:dyDescent="0.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</row>
    <row r="77" spans="1:32" x14ac:dyDescent="0.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</row>
    <row r="78" spans="1:32" x14ac:dyDescent="0.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</row>
    <row r="79" spans="1:32" x14ac:dyDescent="0.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</row>
    <row r="80" spans="1:32" x14ac:dyDescent="0.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</row>
    <row r="81" spans="1:32" x14ac:dyDescent="0.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</row>
    <row r="82" spans="1:32" x14ac:dyDescent="0.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</row>
    <row r="83" spans="1:32" x14ac:dyDescent="0.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</row>
    <row r="84" spans="1:32" x14ac:dyDescent="0.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</row>
  </sheetData>
  <mergeCells count="10">
    <mergeCell ref="U16:V16"/>
    <mergeCell ref="U17:V17"/>
    <mergeCell ref="U18:V18"/>
    <mergeCell ref="U19:V19"/>
    <mergeCell ref="U20:V20"/>
    <mergeCell ref="U21:V21"/>
    <mergeCell ref="B15:E15"/>
    <mergeCell ref="G15:I15"/>
    <mergeCell ref="L3:P3"/>
    <mergeCell ref="C3:E3"/>
  </mergeCells>
  <pageMargins left="0.7" right="0.7" top="0.75" bottom="0.75" header="0.3" footer="0.3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9B32-8EC9-418D-B89E-FBCB4D990724}">
  <dimension ref="A1:X107"/>
  <sheetViews>
    <sheetView showGridLines="0" zoomScale="25" zoomScaleNormal="25" workbookViewId="0">
      <selection sqref="A1:U107"/>
    </sheetView>
  </sheetViews>
  <sheetFormatPr defaultRowHeight="14.4" x14ac:dyDescent="0.3"/>
  <cols>
    <col min="21" max="21" width="3.21875" customWidth="1"/>
  </cols>
  <sheetData>
    <row r="1" spans="1:24" ht="14.4" customHeight="1" x14ac:dyDescent="0.3">
      <c r="A1" s="16" t="s">
        <v>38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9"/>
      <c r="V1" s="10"/>
      <c r="W1" s="10"/>
      <c r="X1" s="10"/>
    </row>
    <row r="2" spans="1:24" ht="14.4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9"/>
      <c r="V2" s="10"/>
      <c r="W2" s="10"/>
      <c r="X2" s="10"/>
    </row>
    <row r="3" spans="1:24" ht="14.4" customHeigh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9"/>
      <c r="V3" s="10"/>
      <c r="W3" s="10"/>
      <c r="X3" s="10"/>
    </row>
    <row r="4" spans="1:24" ht="14.4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9"/>
      <c r="V4" s="10"/>
      <c r="W4" s="10"/>
      <c r="X4" s="10"/>
    </row>
    <row r="5" spans="1:2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1"/>
      <c r="W5" s="11"/>
      <c r="X5" s="11"/>
    </row>
    <row r="6" spans="1:2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1"/>
      <c r="W6" s="11"/>
      <c r="X6" s="11"/>
    </row>
    <row r="7" spans="1:24" ht="21.6" thickBot="1" x14ac:dyDescent="0.45">
      <c r="A7" s="1"/>
      <c r="B7" s="30" t="s">
        <v>39</v>
      </c>
      <c r="C7" s="31"/>
      <c r="D7" s="31"/>
      <c r="E7" s="31"/>
      <c r="F7" s="1"/>
      <c r="G7" s="30" t="s">
        <v>40</v>
      </c>
      <c r="H7" s="31"/>
      <c r="I7" s="31"/>
      <c r="J7" s="31"/>
      <c r="K7" s="1"/>
      <c r="L7" s="30" t="s">
        <v>41</v>
      </c>
      <c r="M7" s="31"/>
      <c r="N7" s="31"/>
      <c r="O7" s="31"/>
      <c r="P7" s="1"/>
      <c r="Q7" s="30" t="s">
        <v>42</v>
      </c>
      <c r="R7" s="31"/>
      <c r="S7" s="31"/>
      <c r="T7" s="31"/>
      <c r="U7" s="1"/>
      <c r="V7" s="11"/>
      <c r="W7" s="11"/>
      <c r="X7" s="11"/>
    </row>
    <row r="8" spans="1:24" ht="24" thickBot="1" x14ac:dyDescent="0.5">
      <c r="A8" s="1"/>
      <c r="B8" s="27">
        <f>Analysis!C13</f>
        <v>3579676</v>
      </c>
      <c r="C8" s="28"/>
      <c r="D8" s="28"/>
      <c r="E8" s="29"/>
      <c r="F8" s="1"/>
      <c r="G8" s="27">
        <f>AVERAGE(Dataset!A1:X501)</f>
        <v>2471.2407780013414</v>
      </c>
      <c r="H8" s="28"/>
      <c r="I8" s="28"/>
      <c r="J8" s="29"/>
      <c r="K8" s="1"/>
      <c r="L8" s="27" t="str">
        <f>Analysis!B6</f>
        <v>Education</v>
      </c>
      <c r="M8" s="28"/>
      <c r="N8" s="28"/>
      <c r="O8" s="29"/>
      <c r="P8" s="1"/>
      <c r="Q8" s="27" t="str">
        <f>Analysis!G6</f>
        <v>Area A</v>
      </c>
      <c r="R8" s="28"/>
      <c r="S8" s="28"/>
      <c r="T8" s="29"/>
      <c r="U8" s="1"/>
      <c r="V8" s="11"/>
      <c r="W8" s="11"/>
      <c r="X8" s="11"/>
    </row>
    <row r="9" spans="1:2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1"/>
      <c r="W9" s="11"/>
      <c r="X9" s="11"/>
    </row>
    <row r="10" spans="1:2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1"/>
      <c r="W10" s="11"/>
      <c r="X10" s="11"/>
    </row>
    <row r="11" spans="1:24" x14ac:dyDescent="0.3">
      <c r="A11" s="1"/>
      <c r="B11" s="20" t="s">
        <v>43</v>
      </c>
      <c r="C11" s="21"/>
      <c r="D11" s="21"/>
      <c r="E11" s="21"/>
      <c r="F11" s="21"/>
      <c r="G11" s="21"/>
      <c r="H11" s="21"/>
      <c r="I11" s="21"/>
      <c r="J11" s="22"/>
      <c r="K11" s="1"/>
      <c r="L11" s="20" t="s">
        <v>46</v>
      </c>
      <c r="M11" s="21"/>
      <c r="N11" s="21"/>
      <c r="O11" s="21"/>
      <c r="P11" s="21"/>
      <c r="Q11" s="21"/>
      <c r="R11" s="21"/>
      <c r="S11" s="21"/>
      <c r="T11" s="22"/>
      <c r="U11" s="1"/>
      <c r="V11" s="11"/>
      <c r="W11" s="11"/>
      <c r="X11" s="11"/>
    </row>
    <row r="12" spans="1:24" x14ac:dyDescent="0.3">
      <c r="A12" s="1"/>
      <c r="B12" s="23"/>
      <c r="C12" s="24"/>
      <c r="D12" s="24"/>
      <c r="E12" s="24"/>
      <c r="F12" s="24"/>
      <c r="G12" s="24"/>
      <c r="H12" s="24"/>
      <c r="I12" s="24"/>
      <c r="J12" s="25"/>
      <c r="K12" s="1"/>
      <c r="L12" s="23"/>
      <c r="M12" s="24"/>
      <c r="N12" s="24"/>
      <c r="O12" s="24"/>
      <c r="P12" s="24"/>
      <c r="Q12" s="24"/>
      <c r="R12" s="24"/>
      <c r="S12" s="24"/>
      <c r="T12" s="25"/>
      <c r="U12" s="1"/>
      <c r="V12" s="11"/>
      <c r="W12" s="11"/>
      <c r="X12" s="11"/>
    </row>
    <row r="13" spans="1:2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1"/>
      <c r="W13" s="11"/>
      <c r="X13" s="11"/>
    </row>
    <row r="14" spans="1:2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1"/>
      <c r="W14" s="11"/>
      <c r="X14" s="11"/>
    </row>
    <row r="15" spans="1:2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1"/>
      <c r="W15" s="11"/>
      <c r="X15" s="11"/>
    </row>
    <row r="16" spans="1:2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1"/>
      <c r="W16" s="11"/>
      <c r="X16" s="11"/>
    </row>
    <row r="17" spans="1:2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1"/>
      <c r="W17" s="11"/>
      <c r="X17" s="11"/>
    </row>
    <row r="18" spans="1:2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1"/>
      <c r="W18" s="11"/>
      <c r="X18" s="11"/>
    </row>
    <row r="19" spans="1:2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1"/>
      <c r="W19" s="11"/>
      <c r="X19" s="11"/>
    </row>
    <row r="20" spans="1:2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1"/>
      <c r="W20" s="11"/>
      <c r="X20" s="11"/>
    </row>
    <row r="21" spans="1:2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1"/>
      <c r="W21" s="11"/>
      <c r="X21" s="11"/>
    </row>
    <row r="22" spans="1:2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1"/>
      <c r="W22" s="11"/>
      <c r="X22" s="11"/>
    </row>
    <row r="23" spans="1:2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1"/>
      <c r="W23" s="11"/>
      <c r="X23" s="11"/>
    </row>
    <row r="24" spans="1: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1"/>
      <c r="W24" s="11"/>
      <c r="X24" s="11"/>
    </row>
    <row r="25" spans="1:2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1"/>
      <c r="W25" s="11"/>
      <c r="X25" s="11"/>
    </row>
    <row r="26" spans="1:2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1"/>
      <c r="W26" s="11"/>
      <c r="X26" s="11"/>
    </row>
    <row r="27" spans="1: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U27" s="1"/>
      <c r="V27" s="11"/>
      <c r="W27" s="11"/>
      <c r="X27" s="11"/>
    </row>
    <row r="28" spans="1: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U28" s="1"/>
      <c r="V28" s="11"/>
      <c r="W28" s="11"/>
      <c r="X28" s="11"/>
    </row>
    <row r="29" spans="1: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1"/>
      <c r="W29" s="11"/>
      <c r="X29" s="11"/>
    </row>
    <row r="30" spans="1:2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1"/>
      <c r="W30" s="11"/>
      <c r="X30" s="11"/>
    </row>
    <row r="31" spans="1: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1"/>
      <c r="W31" s="11"/>
      <c r="X31" s="11"/>
    </row>
    <row r="32" spans="1: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1"/>
      <c r="W32" s="11"/>
      <c r="X32" s="11"/>
    </row>
    <row r="33" spans="1:24" x14ac:dyDescent="0.3">
      <c r="A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1"/>
      <c r="W33" s="11"/>
      <c r="X33" s="11"/>
    </row>
    <row r="34" spans="1:24" x14ac:dyDescent="0.3">
      <c r="A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1"/>
      <c r="W34" s="11"/>
      <c r="X34" s="11"/>
    </row>
    <row r="35" spans="1:2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1"/>
      <c r="W35" s="11"/>
      <c r="X35" s="11"/>
    </row>
    <row r="36" spans="1:2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1"/>
      <c r="W36" s="11"/>
      <c r="X36" s="11"/>
    </row>
    <row r="37" spans="1: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1"/>
      <c r="W37" s="11"/>
      <c r="X37" s="11"/>
    </row>
    <row r="38" spans="1: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1"/>
      <c r="W38" s="11"/>
      <c r="X38" s="11"/>
    </row>
    <row r="39" spans="1: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8"/>
      <c r="T39" s="8"/>
      <c r="U39" s="1"/>
      <c r="V39" s="11"/>
      <c r="W39" s="11"/>
      <c r="X39" s="11"/>
    </row>
    <row r="40" spans="1:24" x14ac:dyDescent="0.3">
      <c r="A40" s="1"/>
      <c r="B40" s="20" t="s">
        <v>47</v>
      </c>
      <c r="C40" s="21"/>
      <c r="D40" s="21"/>
      <c r="E40" s="21"/>
      <c r="F40" s="21"/>
      <c r="G40" s="21"/>
      <c r="H40" s="21"/>
      <c r="I40" s="21"/>
      <c r="J40" s="22"/>
      <c r="K40" s="1"/>
      <c r="L40" s="20" t="s">
        <v>49</v>
      </c>
      <c r="M40" s="21"/>
      <c r="N40" s="21"/>
      <c r="O40" s="21"/>
      <c r="P40" s="21"/>
      <c r="Q40" s="21"/>
      <c r="R40" s="21"/>
      <c r="S40" s="21"/>
      <c r="T40" s="22"/>
      <c r="U40" s="1"/>
      <c r="V40" s="11"/>
      <c r="W40" s="11"/>
      <c r="X40" s="11"/>
    </row>
    <row r="41" spans="1:24" x14ac:dyDescent="0.3">
      <c r="A41" s="1"/>
      <c r="B41" s="23"/>
      <c r="C41" s="24"/>
      <c r="D41" s="24"/>
      <c r="E41" s="24"/>
      <c r="F41" s="24"/>
      <c r="G41" s="24"/>
      <c r="H41" s="24"/>
      <c r="I41" s="24"/>
      <c r="J41" s="25"/>
      <c r="K41" s="1"/>
      <c r="L41" s="23"/>
      <c r="M41" s="24"/>
      <c r="N41" s="24"/>
      <c r="O41" s="24"/>
      <c r="P41" s="24"/>
      <c r="Q41" s="24"/>
      <c r="R41" s="24"/>
      <c r="S41" s="24"/>
      <c r="T41" s="25"/>
      <c r="U41" s="1"/>
      <c r="V41" s="11"/>
      <c r="W41" s="11"/>
      <c r="X41" s="11"/>
    </row>
    <row r="42" spans="1: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1"/>
      <c r="W42" s="11"/>
      <c r="X42" s="11"/>
    </row>
    <row r="43" spans="1:24" x14ac:dyDescent="0.3">
      <c r="A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1"/>
      <c r="W43" s="11"/>
      <c r="X43" s="11"/>
    </row>
    <row r="44" spans="1:24" x14ac:dyDescent="0.3">
      <c r="A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1"/>
      <c r="W44" s="11"/>
      <c r="X44" s="11"/>
    </row>
    <row r="45" spans="1: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1"/>
      <c r="W45" s="11"/>
      <c r="X45" s="11"/>
    </row>
    <row r="46" spans="1:24" ht="14.4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1"/>
      <c r="W46" s="11"/>
      <c r="X46" s="11"/>
    </row>
    <row r="47" spans="1:24" ht="14.4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1"/>
      <c r="W47" s="11"/>
      <c r="X47" s="11"/>
    </row>
    <row r="48" spans="1: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1"/>
      <c r="W48" s="11"/>
      <c r="X48" s="11"/>
    </row>
    <row r="49" spans="1:2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1"/>
      <c r="W49" s="11"/>
      <c r="X49" s="11"/>
    </row>
    <row r="50" spans="1:2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1"/>
      <c r="W50" s="11"/>
      <c r="X50" s="11"/>
    </row>
    <row r="51" spans="1:2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1"/>
      <c r="W51" s="11"/>
      <c r="X51" s="11"/>
    </row>
    <row r="52" spans="1:2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1"/>
      <c r="W52" s="11"/>
      <c r="X52" s="11"/>
    </row>
    <row r="53" spans="1:2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1"/>
      <c r="W53" s="11"/>
      <c r="X53" s="11"/>
    </row>
    <row r="54" spans="1:2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1"/>
      <c r="W54" s="11"/>
      <c r="X54" s="11"/>
    </row>
    <row r="55" spans="1:2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1"/>
      <c r="W55" s="11"/>
      <c r="X55" s="11"/>
    </row>
    <row r="56" spans="1:24" ht="21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1"/>
      <c r="W56" s="11"/>
      <c r="X56" s="11"/>
    </row>
    <row r="57" spans="1:24" ht="14.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1"/>
      <c r="W57" s="11"/>
      <c r="X57" s="11"/>
    </row>
    <row r="58" spans="1:24" ht="14.4" customHeight="1" x14ac:dyDescent="0.3">
      <c r="A58" s="1"/>
      <c r="B58" s="12"/>
      <c r="C58" s="12"/>
      <c r="D58" s="12"/>
      <c r="E58" s="12"/>
      <c r="F58" s="12"/>
      <c r="G58" s="12"/>
      <c r="H58" s="12"/>
      <c r="I58" s="12"/>
      <c r="J58" s="1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1"/>
      <c r="W58" s="11"/>
      <c r="X58" s="11"/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1"/>
      <c r="W59" s="11"/>
      <c r="X59" s="11"/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1"/>
      <c r="W60" s="11"/>
      <c r="X60" s="11"/>
    </row>
    <row r="61" spans="1:24" x14ac:dyDescent="0.3">
      <c r="A61" s="1"/>
      <c r="B61" s="17" t="s">
        <v>54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"/>
      <c r="V61" s="11"/>
      <c r="W61" s="11"/>
      <c r="X61" s="11"/>
    </row>
    <row r="62" spans="1:24" x14ac:dyDescent="0.3">
      <c r="A62" s="1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"/>
      <c r="V62" s="11"/>
      <c r="W62" s="11"/>
      <c r="X62" s="11"/>
    </row>
    <row r="63" spans="1:24" x14ac:dyDescent="0.3">
      <c r="A63" s="1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"/>
      <c r="V63" s="11"/>
      <c r="W63" s="11"/>
      <c r="X63" s="11"/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1"/>
      <c r="W64" s="11"/>
      <c r="X64" s="11"/>
    </row>
    <row r="65" spans="1:24" x14ac:dyDescent="0.3">
      <c r="A65" s="1"/>
      <c r="B65" s="7" t="s">
        <v>27</v>
      </c>
      <c r="C65" s="7" t="s">
        <v>19</v>
      </c>
      <c r="D65" s="7" t="s">
        <v>18</v>
      </c>
      <c r="E65" s="7" t="s">
        <v>10</v>
      </c>
      <c r="F65" s="7" t="s">
        <v>23</v>
      </c>
      <c r="G65" s="7" t="s">
        <v>24</v>
      </c>
      <c r="H65" s="7" t="s">
        <v>17</v>
      </c>
      <c r="I65" s="7" t="s">
        <v>12</v>
      </c>
      <c r="J65" s="7" t="s">
        <v>28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1"/>
      <c r="W65" s="11"/>
      <c r="X65" s="11"/>
    </row>
    <row r="66" spans="1:24" x14ac:dyDescent="0.3">
      <c r="A66" s="1"/>
      <c r="B66" s="2" t="s">
        <v>34</v>
      </c>
      <c r="C66" s="3">
        <v>651984</v>
      </c>
      <c r="D66" s="3">
        <v>75317</v>
      </c>
      <c r="E66" s="3">
        <v>219956</v>
      </c>
      <c r="F66" s="3">
        <v>61435</v>
      </c>
      <c r="G66" s="3">
        <v>218830</v>
      </c>
      <c r="H66" s="3">
        <v>129188</v>
      </c>
      <c r="I66" s="3">
        <v>43478</v>
      </c>
      <c r="J66" s="3">
        <v>1400188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1"/>
      <c r="W66" s="11"/>
      <c r="X66" s="11"/>
    </row>
    <row r="67" spans="1:24" x14ac:dyDescent="0.3">
      <c r="A67" s="1"/>
      <c r="B67" s="2" t="s">
        <v>35</v>
      </c>
      <c r="C67" s="3">
        <v>125116</v>
      </c>
      <c r="D67" s="3">
        <v>47671</v>
      </c>
      <c r="E67" s="3">
        <v>117259</v>
      </c>
      <c r="F67" s="3">
        <v>65150</v>
      </c>
      <c r="G67" s="3">
        <v>174093</v>
      </c>
      <c r="H67" s="3">
        <v>130050</v>
      </c>
      <c r="I67" s="3">
        <v>61412</v>
      </c>
      <c r="J67" s="3">
        <v>720751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1"/>
      <c r="W67" s="11"/>
      <c r="X67" s="11"/>
    </row>
    <row r="68" spans="1:24" x14ac:dyDescent="0.3">
      <c r="A68" s="1"/>
      <c r="B68" s="2" t="s">
        <v>36</v>
      </c>
      <c r="C68" s="3">
        <v>37268</v>
      </c>
      <c r="D68" s="3">
        <v>48838</v>
      </c>
      <c r="E68" s="3">
        <v>154545</v>
      </c>
      <c r="F68" s="3">
        <v>41817</v>
      </c>
      <c r="G68" s="3">
        <v>157078</v>
      </c>
      <c r="H68" s="3">
        <v>161294</v>
      </c>
      <c r="I68" s="3">
        <v>78898</v>
      </c>
      <c r="J68" s="3">
        <v>679738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1"/>
      <c r="W68" s="11"/>
      <c r="X68" s="11"/>
    </row>
    <row r="69" spans="1:24" x14ac:dyDescent="0.3">
      <c r="A69" s="1"/>
      <c r="B69" s="2" t="s">
        <v>37</v>
      </c>
      <c r="C69" s="3">
        <v>102212</v>
      </c>
      <c r="D69" s="3">
        <v>62618</v>
      </c>
      <c r="E69" s="3">
        <v>186650</v>
      </c>
      <c r="F69" s="3">
        <v>83787</v>
      </c>
      <c r="G69" s="3">
        <v>110402</v>
      </c>
      <c r="H69" s="3">
        <v>121560</v>
      </c>
      <c r="I69" s="3">
        <v>111770</v>
      </c>
      <c r="J69" s="3">
        <v>778999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1"/>
      <c r="W69" s="11"/>
      <c r="X69" s="11"/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4" x14ac:dyDescent="0.3">
      <c r="A72" s="1"/>
      <c r="B72" s="18" t="s">
        <v>57</v>
      </c>
      <c r="C72" s="18"/>
      <c r="D72" s="18"/>
      <c r="E72" s="18"/>
      <c r="F72" s="18"/>
      <c r="G72" s="18"/>
      <c r="H72" s="18"/>
      <c r="I72" s="18"/>
      <c r="J72" s="1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4" x14ac:dyDescent="0.3">
      <c r="A73" s="1"/>
      <c r="B73" s="18"/>
      <c r="C73" s="18"/>
      <c r="D73" s="18"/>
      <c r="E73" s="18"/>
      <c r="F73" s="18"/>
      <c r="G73" s="18"/>
      <c r="H73" s="18"/>
      <c r="I73" s="18"/>
      <c r="J73" s="1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4" x14ac:dyDescent="0.3">
      <c r="A77" s="1"/>
      <c r="B77" s="19" t="s">
        <v>58</v>
      </c>
      <c r="C77" s="19"/>
      <c r="D77" s="19"/>
      <c r="E77" s="19"/>
      <c r="F77" s="19" t="s">
        <v>59</v>
      </c>
      <c r="G77" s="19"/>
      <c r="H77" s="19"/>
      <c r="I77" s="1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4" x14ac:dyDescent="0.3">
      <c r="A78" s="1"/>
      <c r="B78" s="13" t="s">
        <v>60</v>
      </c>
      <c r="C78" s="13"/>
      <c r="D78" s="13"/>
      <c r="E78" s="13"/>
      <c r="F78" s="13" t="s">
        <v>19</v>
      </c>
      <c r="G78" s="13"/>
      <c r="H78" s="13"/>
      <c r="I78" s="1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4" x14ac:dyDescent="0.3">
      <c r="A79" s="1"/>
      <c r="B79" s="13" t="s">
        <v>61</v>
      </c>
      <c r="C79" s="13"/>
      <c r="D79" s="13"/>
      <c r="E79" s="13"/>
      <c r="F79" s="13" t="s">
        <v>64</v>
      </c>
      <c r="G79" s="13"/>
      <c r="H79" s="13"/>
      <c r="I79" s="1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4" x14ac:dyDescent="0.3">
      <c r="A80" s="1"/>
      <c r="B80" s="13" t="s">
        <v>62</v>
      </c>
      <c r="C80" s="13"/>
      <c r="D80" s="13"/>
      <c r="E80" s="13"/>
      <c r="F80" s="13" t="s">
        <v>17</v>
      </c>
      <c r="G80" s="13"/>
      <c r="H80" s="13"/>
      <c r="I80" s="1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3">
      <c r="A81" s="1"/>
      <c r="B81" s="13" t="s">
        <v>63</v>
      </c>
      <c r="C81" s="13"/>
      <c r="D81" s="13"/>
      <c r="E81" s="13"/>
      <c r="F81" s="13" t="s">
        <v>65</v>
      </c>
      <c r="G81" s="13"/>
      <c r="H81" s="13"/>
      <c r="I81" s="1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3">
      <c r="A83" s="1"/>
      <c r="B83" s="26" t="s">
        <v>52</v>
      </c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1"/>
    </row>
    <row r="84" spans="1:21" x14ac:dyDescent="0.3">
      <c r="A84" s="1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1"/>
    </row>
    <row r="85" spans="1:2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3">
      <c r="A86" s="1"/>
      <c r="B86" s="14" t="s">
        <v>53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"/>
    </row>
    <row r="87" spans="1:21" x14ac:dyDescent="0.3">
      <c r="A87" s="1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"/>
    </row>
    <row r="88" spans="1:21" x14ac:dyDescent="0.3">
      <c r="A88" s="1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"/>
    </row>
    <row r="89" spans="1:21" x14ac:dyDescent="0.3">
      <c r="A89" s="1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"/>
    </row>
    <row r="90" spans="1:21" x14ac:dyDescent="0.3">
      <c r="A90" s="1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"/>
    </row>
    <row r="91" spans="1:21" x14ac:dyDescent="0.3">
      <c r="A91" s="1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"/>
    </row>
    <row r="92" spans="1:21" x14ac:dyDescent="0.3">
      <c r="A92" s="1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"/>
    </row>
    <row r="93" spans="1:21" x14ac:dyDescent="0.3">
      <c r="A93" s="1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"/>
    </row>
    <row r="94" spans="1:21" x14ac:dyDescent="0.3">
      <c r="A94" s="1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"/>
    </row>
    <row r="95" spans="1:21" x14ac:dyDescent="0.3">
      <c r="A95" s="1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"/>
    </row>
    <row r="96" spans="1:21" x14ac:dyDescent="0.3">
      <c r="A96" s="1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"/>
    </row>
    <row r="97" spans="1:21" x14ac:dyDescent="0.3">
      <c r="A97" s="1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"/>
    </row>
    <row r="98" spans="1:21" x14ac:dyDescent="0.3">
      <c r="A98" s="1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"/>
    </row>
    <row r="99" spans="1:21" x14ac:dyDescent="0.3">
      <c r="A99" s="1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"/>
    </row>
    <row r="100" spans="1:2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</sheetData>
  <mergeCells count="27">
    <mergeCell ref="Q8:T8"/>
    <mergeCell ref="B11:J12"/>
    <mergeCell ref="L11:T12"/>
    <mergeCell ref="B8:E8"/>
    <mergeCell ref="B7:E7"/>
    <mergeCell ref="G7:J7"/>
    <mergeCell ref="B86:T99"/>
    <mergeCell ref="A1:T4"/>
    <mergeCell ref="B61:T63"/>
    <mergeCell ref="B72:J73"/>
    <mergeCell ref="B77:E77"/>
    <mergeCell ref="B40:J41"/>
    <mergeCell ref="L40:T41"/>
    <mergeCell ref="B83:T84"/>
    <mergeCell ref="F77:I77"/>
    <mergeCell ref="B78:E78"/>
    <mergeCell ref="F78:I78"/>
    <mergeCell ref="B79:E79"/>
    <mergeCell ref="G8:J8"/>
    <mergeCell ref="L7:O7"/>
    <mergeCell ref="L8:O8"/>
    <mergeCell ref="Q7:T7"/>
    <mergeCell ref="F79:I79"/>
    <mergeCell ref="B80:E80"/>
    <mergeCell ref="F80:I80"/>
    <mergeCell ref="B81:E81"/>
    <mergeCell ref="F81:I8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 SNGH</cp:lastModifiedBy>
  <dcterms:created xsi:type="dcterms:W3CDTF">2026-06-13T18:16:26Z</dcterms:created>
  <dcterms:modified xsi:type="dcterms:W3CDTF">2026-06-20T16:42:36Z</dcterms:modified>
</cp:coreProperties>
</file>